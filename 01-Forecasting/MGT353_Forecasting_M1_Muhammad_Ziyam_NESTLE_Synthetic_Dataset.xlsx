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" sheetId="2" state="visible" r:id="rId4"/>
    <sheet name="Data_Dictionary" sheetId="3" state="visible" r:id="rId5"/>
    <sheet name="Assumption_Log" sheetId="4" state="visible" r:id="rId6"/>
  </sheets>
  <definedNames>
    <definedName function="false" hidden="true" localSheetId="1" name="_xlnm._FilterDatabase" vbProcedure="false">Data!$A$1:$L$105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<sst xmlns="http://schemas.openxmlformats.org/spreadsheetml/2006/main" count="462" uniqueCount="208">
  <si>
    <t xml:space="preserve">Nestle Pakistan: Fruita Vitals 200ml, Weekly Demand Dataset (Deliverable 1)</t>
  </si>
  <si>
    <t xml:space="preserve">Company-Calibrated Synthetic Dataset for Academic Analysis — illustrative figures, calibrated to Nestle Pakistan's disclosed scale, not actual company records.</t>
  </si>
  <si>
    <t xml:space="preserve">Purpose</t>
  </si>
  <si>
    <t xml:space="preserve">Synthetic weekly demand history for one SKU, built to practise forecasting, regression, validation and stress testing for MGT-353 Milestone 1.</t>
  </si>
  <si>
    <t xml:space="preserve">Forecast object</t>
  </si>
  <si>
    <t xml:space="preserve">Nestle Fruita Vitals 200ml (Product_ID NPK-FV-200ML), national channel (general + modern trade), weekly packs.</t>
  </si>
  <si>
    <t xml:space="preserve">Decision supported</t>
  </si>
  <si>
    <t xml:space="preserve">How many packs to plan for the next 12 weeks (29 Dec 2025 - 22 Mar 2026) and how much to commit now versus keep flexible.</t>
  </si>
  <si>
    <t xml:space="preserve">Company context</t>
  </si>
  <si>
    <t xml:space="preserve">Real (from the assignment brief): Nestle Pakistan, FMCG, listed on PSX, disclosed annual revenue PKR 199,069 million. Everything else about this SKU is assumed or synthetic.</t>
  </si>
  <si>
    <t xml:space="preserve">Sheets</t>
  </si>
  <si>
    <t xml:space="preserve">Data (104 rows x 12 columns), Data_Dictionary (12 fields), Assumption_Log (what was built in and why).</t>
  </si>
  <si>
    <t xml:space="preserve">Companion file</t>
  </si>
  <si>
    <t xml:space="preserve">fruita_vitals_200ml_weekly_synthetic.csv holds the identical data. SHA-256 of the CSV begins 5bdda4d12a2008f0. The dataset was frozen before any model comparison.</t>
  </si>
  <si>
    <t xml:space="preserve">Generation</t>
  </si>
  <si>
    <t xml:space="preserve">Seeded random generator (seed 353): base level x trend x temperature x price x promotion x calendar events x shocks x stockouts x autocorrelated noise. Demand rounded to the nearest 100 packs.</t>
  </si>
  <si>
    <t xml:space="preserve">Limits</t>
  </si>
  <si>
    <t xml:space="preserve">Not company records. Effects were built in by design, so models that recover them show the method works, not that real demand behaves this way. Historical_Forecast is a simulated planner forecast.</t>
  </si>
  <si>
    <t xml:space="preserve">Live data checks (formulas on the Data sheet)</t>
  </si>
  <si>
    <t xml:space="preserve">Weeks (rows)</t>
  </si>
  <si>
    <t xml:space="preserve">First week start</t>
  </si>
  <si>
    <t xml:space="preserve">Last week start</t>
  </si>
  <si>
    <t xml:space="preserve">Mean weekly demand (packs)</t>
  </si>
  <si>
    <t xml:space="preserve">Promotion weeks</t>
  </si>
  <si>
    <t xml:space="preserve">Promotion share of weeks</t>
  </si>
  <si>
    <t xml:space="preserve">Event (Ramadan/Eid) weeks</t>
  </si>
  <si>
    <t xml:space="preserve">Stockout weeks</t>
  </si>
  <si>
    <t xml:space="preserve">Lowest / highest price (PKR)</t>
  </si>
  <si>
    <t xml:space="preserve">Weeks with an exceptional event label</t>
  </si>
  <si>
    <t xml:space="preserve">Week_Start_Date</t>
  </si>
  <si>
    <t xml:space="preserve">Product_ID</t>
  </si>
  <si>
    <t xml:space="preserve">Channel</t>
  </si>
  <si>
    <t xml:space="preserve">Actual_Demand</t>
  </si>
  <si>
    <t xml:space="preserve">Historical_Forecast</t>
  </si>
  <si>
    <t xml:space="preserve">Price</t>
  </si>
  <si>
    <t xml:space="preserve">Promo_Flag</t>
  </si>
  <si>
    <t xml:space="preserve">Promo_Depth</t>
  </si>
  <si>
    <t xml:space="preserve">Event_Flag</t>
  </si>
  <si>
    <t xml:space="preserve">Temperature</t>
  </si>
  <si>
    <t xml:space="preserve">Stockout_Flag</t>
  </si>
  <si>
    <t xml:space="preserve">Exceptional_Event</t>
  </si>
  <si>
    <t xml:space="preserve">NPK-FV-200ML</t>
  </si>
  <si>
    <t xml:space="preserve">National (GT+MT)</t>
  </si>
  <si>
    <t xml:space="preserve">Competitor promotion (rival juice brand 3-for-2 deal)</t>
  </si>
  <si>
    <t xml:space="preserve">Supply disruption (packaging-material delay at plant)</t>
  </si>
  <si>
    <t xml:space="preserve">Heatwave (extreme temperatures)</t>
  </si>
  <si>
    <t xml:space="preserve">Viral social-media moment (influencer campaign)</t>
  </si>
  <si>
    <t xml:space="preserve">Field</t>
  </si>
  <si>
    <t xml:space="preserve">Definition</t>
  </si>
  <si>
    <t xml:space="preserve">Unit</t>
  </si>
  <si>
    <t xml:space="preserve">Real / Assumed / Synthetic</t>
  </si>
  <si>
    <t xml:space="preserve">Source logic and synthetic assumption</t>
  </si>
  <si>
    <t xml:space="preserve">Why included</t>
  </si>
  <si>
    <t xml:space="preserve">Monday on which the week begins</t>
  </si>
  <si>
    <t xml:space="preserve">Date (yyyy-mm-dd)</t>
  </si>
  <si>
    <t xml:space="preserve">Synthetic structure</t>
  </si>
  <si>
    <t xml:space="preserve">104 consecutive weeks from 2024-01-01 to 2025-12-22; no gaps or duplicates</t>
  </si>
  <si>
    <t xml:space="preserve">Time index</t>
  </si>
  <si>
    <t xml:space="preserve">Code for Nestle Fruita Vitals 200ml</t>
  </si>
  <si>
    <t xml:space="preserve">Text</t>
  </si>
  <si>
    <t xml:space="preserve">Assumed</t>
  </si>
  <si>
    <t xml:space="preserve">Single SKU fixed for all rows: NPK-FV-200ML</t>
  </si>
  <si>
    <t xml:space="preserve">Identifies the forecast object</t>
  </si>
  <si>
    <t xml:space="preserve">Sales channel aggregation</t>
  </si>
  <si>
    <t xml:space="preserve">National, general trade plus modern trade combined</t>
  </si>
  <si>
    <t xml:space="preserve">Identifies the forecast level</t>
  </si>
  <si>
    <t xml:space="preserve">200ml packs sold or ordered per week (the forecast target)</t>
  </si>
  <si>
    <t xml:space="preserve">Packs</t>
  </si>
  <si>
    <t xml:space="preserve">Synthetic, calibrated</t>
  </si>
  <si>
    <t xml:space="preserve">Base level of about 780,000 packs a week, calibrated so the SKU is roughly 1.5% of PKR 199,069m revenue at about PKR 70 a pack; multiplied by trend, temperature, price, promotion, event, shock, stockout and noise effects; rounded to 100</t>
  </si>
  <si>
    <t xml:space="preserve">Forecast target</t>
  </si>
  <si>
    <t xml:space="preserve">Simulated prior planner forecast for the same week</t>
  </si>
  <si>
    <t xml:space="preserve">Synthetic</t>
  </si>
  <si>
    <t xml:space="preserve">Trailing 4-week average adjusted for planned promotions and calendar events, +1.8% over-forecast tendency, 4% random error. It used part of the true promo and event effect sizes, so it is illustrative, not a real Nestle forecast</t>
  </si>
  <si>
    <t xml:space="preserve">Error-metric practice (MAD, MAPE, bias, tracking signal)</t>
  </si>
  <si>
    <t xml:space="preserve">Average list price per 200ml pack before promotion discount</t>
  </si>
  <si>
    <t xml:space="preserve">PKR per pack</t>
  </si>
  <si>
    <t xml:space="preserve">Assumed/synthetic</t>
  </si>
  <si>
    <t xml:space="preserve">Steps from 68 to 72 (week 27), 76 (week 53), 80 (week 79) to mimic inflation, plus weekly trade-mix variation of -2 to +2</t>
  </si>
  <si>
    <t xml:space="preserve">Causal driver</t>
  </si>
  <si>
    <t xml:space="preserve">1 if a promotion ran that week</t>
  </si>
  <si>
    <t xml:space="preserve">0/1</t>
  </si>
  <si>
    <t xml:space="preserve">Promotion in 20 of 104 weeks (19.2%), in runs of one or two weeks, none in the supply-disruption weeks</t>
  </si>
  <si>
    <t xml:space="preserve">Discount percentage while promoting; 0 otherwise</t>
  </si>
  <si>
    <t xml:space="preserve">%</t>
  </si>
  <si>
    <t xml:space="preserve">Drawn from 5, 8, 10, 12, 15, 18, 20 with more weight on mid values. Lift = 1.9 x depth plus noise, limited to 10-40%, so no two promotions behave alike</t>
  </si>
  <si>
    <t xml:space="preserve">Lets the promotion effect size vary</t>
  </si>
  <si>
    <t xml:space="preserve">1 for pre-Ramadan stock-up, Ramadan start, Eid-ul-Fitr and Eid-ul-Adha weeks</t>
  </si>
  <si>
    <t xml:space="preserve">Calendar-grounded; effect size synthetic</t>
  </si>
  <si>
    <t xml:space="preserve">8 weeks: 4 Mar &amp; 11 Mar &amp; 8 Apr &amp; 17 Jun 2024; 17 Feb &amp; 24 Feb &amp; 31 Mar &amp; 2 Jun 2025. Spikes of +8% to +23%, small dips the week after Eid</t>
  </si>
  <si>
    <t xml:space="preserve">Season/event</t>
  </si>
  <si>
    <t xml:space="preserve">Average weekly national temperature proxy</t>
  </si>
  <si>
    <t xml:space="preserve">Degrees Celsius</t>
  </si>
  <si>
    <t xml:space="preserve">Annual sine cycle (mean 25, amplitude 8, peak around June) plus noise of 1.4; higher in the two heatwave weeks. Demand rises about 1.8% per degree above 25</t>
  </si>
  <si>
    <t xml:space="preserve">Additional driver: juice is a heat-sensitive category</t>
  </si>
  <si>
    <t xml:space="preserve">1 if availability limited sales</t>
  </si>
  <si>
    <t xml:space="preserve">8 weeks (12, 27, 44, 50, 51, 62, 79, 91), demand suppressed by 10-25% on top of any shock effect</t>
  </si>
  <si>
    <t xml:space="preserve">Explains abnormal sales</t>
  </si>
  <si>
    <t xml:space="preserve">Label for one-off shocks; blank in all other weeks</t>
  </si>
  <si>
    <t xml:space="preserve">4 events over 7 weeks: competitor promotion, supply disruption, heatwave, viral social moment</t>
  </si>
  <si>
    <t xml:space="preserve">Outlier and shock handling</t>
  </si>
  <si>
    <t xml:space="preserve">ID</t>
  </si>
  <si>
    <t xml:space="preserve">Area</t>
  </si>
  <si>
    <t xml:space="preserve">What was built in</t>
  </si>
  <si>
    <t xml:space="preserve">Value / parameter</t>
  </si>
  <si>
    <t xml:space="preserve">Reasoning</t>
  </si>
  <si>
    <t xml:space="preserve">Label</t>
  </si>
  <si>
    <t xml:space="preserve">Caveat</t>
  </si>
  <si>
    <t xml:space="preserve">A1</t>
  </si>
  <si>
    <t xml:space="preserve">Company scale</t>
  </si>
  <si>
    <t xml:space="preserve">Revenue anchor</t>
  </si>
  <si>
    <t xml:space="preserve">PKR 199,069 million</t>
  </si>
  <si>
    <t xml:space="preserve">Taken from the assignment brief; used only to size the SKU</t>
  </si>
  <si>
    <t xml:space="preserve">Real (from brief)</t>
  </si>
  <si>
    <t xml:space="preserve">Verify the year in the annual report</t>
  </si>
  <si>
    <t xml:space="preserve">A2</t>
  </si>
  <si>
    <t xml:space="preserve">Fiscal year-end</t>
  </si>
  <si>
    <t xml:space="preserve">Believed 31 December</t>
  </si>
  <si>
    <t xml:space="preserve">Not given in the brief</t>
  </si>
  <si>
    <t xml:space="preserve">Unverified</t>
  </si>
  <si>
    <t xml:space="preserve">Check Nestle Pakistan's annual report before submitting</t>
  </si>
  <si>
    <t xml:space="preserve">A3</t>
  </si>
  <si>
    <t xml:space="preserve">Demand level</t>
  </si>
  <si>
    <t xml:space="preserve">Starting weekly demand</t>
  </si>
  <si>
    <t xml:space="preserve">About 780,000 packs (mean 822,000 over 104 weeks)</t>
  </si>
  <si>
    <t xml:space="preserve">About 1.5% of revenue at about PKR 70 a pack</t>
  </si>
  <si>
    <t xml:space="preserve">The SKU share of revenue is my assumption, not a disclosed figure</t>
  </si>
  <si>
    <t xml:space="preserve">A4</t>
  </si>
  <si>
    <t xml:space="preserve">Trend</t>
  </si>
  <si>
    <t xml:space="preserve">Mild growth</t>
  </si>
  <si>
    <t xml:space="preserve">About 3.5% a year before price effects; annual averages 810k then 836k (+3%)</t>
  </si>
  <si>
    <t xml:space="preserve">Packaged juice grows modestly under affordability pressure</t>
  </si>
  <si>
    <t xml:space="preserve">A5</t>
  </si>
  <si>
    <t xml:space="preserve">Seasonality</t>
  </si>
  <si>
    <t xml:space="preserve">Heat cycle</t>
  </si>
  <si>
    <t xml:space="preserve">+1.8% demand per degree above 25C; June about 960k vs December about 660k</t>
  </si>
  <si>
    <t xml:space="preserve">Juice is a heat-sensitive category</t>
  </si>
  <si>
    <t xml:space="preserve">Two years of data only, so seasonality is supported by the temperature link, not long history</t>
  </si>
  <si>
    <t xml:space="preserve">A6</t>
  </si>
  <si>
    <t xml:space="preserve">Events</t>
  </si>
  <si>
    <t xml:space="preserve">Ramadan and Eid spikes</t>
  </si>
  <si>
    <t xml:space="preserve">Pre-Ramadan +13%/+12%, Ramadan start +23%/+22%, Eid-ul-Fitr +10%, Eid-ul-Adha +9%/+8%; dips of 5-10% the following week</t>
  </si>
  <si>
    <t xml:space="preserve">Short, sharp FMCG spikes around the calendar events (days, not weeks)</t>
  </si>
  <si>
    <t xml:space="preserve">Dates real; sizes synthetic</t>
  </si>
  <si>
    <t xml:space="preserve">Moon-sighting can shift real dates by a day</t>
  </si>
  <si>
    <t xml:space="preserve">A7</t>
  </si>
  <si>
    <t xml:space="preserve">List price and sensitivity</t>
  </si>
  <si>
    <t xml:space="preserve">68 &gt; 72 &gt; 76 &gt; 80 PKR (weeks 27, 53, 79); elasticity about -0.45; weekly variation -2 to +2</t>
  </si>
  <si>
    <t xml:space="preserve">Low unit price sensitivity for a small-ticket FMCG item</t>
  </si>
  <si>
    <t xml:space="preserve">Price rises with the trend, so the two cannot be separated statistically</t>
  </si>
  <si>
    <t xml:space="preserve">A8</t>
  </si>
  <si>
    <t xml:space="preserve">Promotion</t>
  </si>
  <si>
    <t xml:space="preserve">Frequency and lift</t>
  </si>
  <si>
    <t xml:space="preserve">20 of 104 weeks; discounts 5-20%; lift 10-40% depending on depth plus random variation</t>
  </si>
  <si>
    <t xml:space="preserve">Frequent small promotions with high promotion sensitivity</t>
  </si>
  <si>
    <t xml:space="preserve">Promo_Flag lumps all discount depths together</t>
  </si>
  <si>
    <t xml:space="preserve">A9</t>
  </si>
  <si>
    <t xml:space="preserve">Noise</t>
  </si>
  <si>
    <t xml:space="preserve">Week-to-week variation</t>
  </si>
  <si>
    <t xml:space="preserve">Multiplicative, about 4.5% with mild carry-over (autocorrelation 0.35)</t>
  </si>
  <si>
    <t xml:space="preserve">Real demand is never a smooth curve</t>
  </si>
  <si>
    <t xml:space="preserve">A10</t>
  </si>
  <si>
    <t xml:space="preserve">Stockouts</t>
  </si>
  <si>
    <t xml:space="preserve">Availability shortfalls</t>
  </si>
  <si>
    <t xml:space="preserve">8 weeks, demand cut 10-25%</t>
  </si>
  <si>
    <t xml:space="preserve">Shows availability-constrained sales</t>
  </si>
  <si>
    <t xml:space="preserve">Observed sales understate true demand in these weeks</t>
  </si>
  <si>
    <t xml:space="preserve">A11</t>
  </si>
  <si>
    <t xml:space="preserve">Exceptional events</t>
  </si>
  <si>
    <t xml:space="preserve">Shock 1</t>
  </si>
  <si>
    <t xml:space="preserve">Competitor promotion, 26 Aug and 2 Sep 2024 (-14%, -8%)</t>
  </si>
  <si>
    <t xml:space="preserve">One-off disruption that fades in 1-2 weeks</t>
  </si>
  <si>
    <t xml:space="preserve">A12</t>
  </si>
  <si>
    <t xml:space="preserve">Shock 2</t>
  </si>
  <si>
    <t xml:space="preserve">Packaging supply disruption, 9 and 16 Dec 2024 (-12%, -20%, both stockout weeks)</t>
  </si>
  <si>
    <t xml:space="preserve">Operational disruption</t>
  </si>
  <si>
    <t xml:space="preserve">A13</t>
  </si>
  <si>
    <t xml:space="preserve">Shock 3</t>
  </si>
  <si>
    <t xml:space="preserve">Heatwave, 5 and 12 May 2025 (+12%, +7%, with higher temperature)</t>
  </si>
  <si>
    <t xml:space="preserve">Weather event</t>
  </si>
  <si>
    <t xml:space="preserve">A14</t>
  </si>
  <si>
    <t xml:space="preserve">Shock 4</t>
  </si>
  <si>
    <t xml:space="preserve">Viral social-media moment, 4 Aug 2025 (+27%, one week)</t>
  </si>
  <si>
    <t xml:space="preserve">Marketing event</t>
  </si>
  <si>
    <t xml:space="preserve">A15</t>
  </si>
  <si>
    <t xml:space="preserve">Historical forecast</t>
  </si>
  <si>
    <t xml:space="preserve">Simulated planner forecast</t>
  </si>
  <si>
    <t xml:space="preserve">Trailing 4-week average x planned promo and event uplifts x 1.018 x random 4%</t>
  </si>
  <si>
    <t xml:space="preserve">Gives realistic error patterns for metric practice</t>
  </si>
  <si>
    <t xml:space="preserve">It used part of the true effect sizes (including part of the realised promo lift), so its 13% error and over-forecast bias are simulation outputs</t>
  </si>
  <si>
    <t xml:space="preserve">A16</t>
  </si>
  <si>
    <t xml:space="preserve">Additional driver</t>
  </si>
  <si>
    <t xml:space="preserve">Why Temperature</t>
  </si>
  <si>
    <t xml:space="preserve">Chosen over distribution points, marketing spend and competitor activity</t>
  </si>
  <si>
    <t xml:space="preserve">Most plausible and measurable driver for a heat-sensitive beverage</t>
  </si>
  <si>
    <t xml:space="preserve">A17</t>
  </si>
  <si>
    <t xml:space="preserve">Data handling</t>
  </si>
  <si>
    <t xml:space="preserve">Frozen dataset</t>
  </si>
  <si>
    <t xml:space="preserve">SHA-256 of CSV begins 5bdda4d12a2008f0</t>
  </si>
  <si>
    <t xml:space="preserve">Frozen before any model comparison; not regenerated after seeing accuracy</t>
  </si>
  <si>
    <t xml:space="preserve">Process</t>
  </si>
  <si>
    <t xml:space="preserve">A18</t>
  </si>
  <si>
    <t xml:space="preserve">Not captured</t>
  </si>
  <si>
    <t xml:space="preserve">Omitted factors</t>
  </si>
  <si>
    <t xml:space="preserve">Flavour and pack mix, regional or channel splits, competitor prices, FX and raw-material costs, retailer inventory, inflation beyond the price steps</t>
  </si>
  <si>
    <t xml:space="preserve">Outside the scope of one national weekly series</t>
  </si>
  <si>
    <t xml:space="preserve">Limitation</t>
  </si>
  <si>
    <t xml:space="preserve">Models cannot test effects that are not in the data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</si>
</sst>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yyyy\-mm\-dd"/>
    <numFmt numFmtId="167" formatCode="#,##0"/>
    <numFmt numFmtId="168" formatCode="0.0%"/>
    <numFmt numFmtId="169" formatCode="@"/>
    <numFmt numFmtId="170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B5C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B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B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4" t="s">
        <v>3</v>
      </c>
    </row>
    <row r="5" customFormat="false" ht="43.5" hidden="false" customHeight="true" outlineLevel="0" collapsed="false">
      <c r="A5" s="3" t="s">
        <v>4</v>
      </c>
      <c r="B5" s="4" t="s">
        <v>5</v>
      </c>
    </row>
    <row r="6" customFormat="false" ht="43.5" hidden="false" customHeight="true" outlineLevel="0" collapsed="false">
      <c r="A6" s="3" t="s">
        <v>6</v>
      </c>
      <c r="B6" s="4" t="s">
        <v>7</v>
      </c>
    </row>
    <row r="7" customFormat="false" ht="43.5" hidden="false" customHeight="true" outlineLevel="0" collapsed="false">
      <c r="A7" s="3" t="s">
        <v>8</v>
      </c>
      <c r="B7" s="4" t="s">
        <v>9</v>
      </c>
    </row>
    <row r="8" customFormat="false" ht="43.5" hidden="false" customHeight="true" outlineLevel="0" collapsed="false">
      <c r="A8" s="3" t="s">
        <v>10</v>
      </c>
      <c r="B8" s="4" t="s">
        <v>11</v>
      </c>
    </row>
    <row r="9" customFormat="false" ht="43.5" hidden="false" customHeight="true" outlineLevel="0" collapsed="false">
      <c r="A9" s="3" t="s">
        <v>12</v>
      </c>
      <c r="B9" s="4" t="s">
        <v>13</v>
      </c>
    </row>
    <row r="10" customFormat="false" ht="43.5" hidden="false" customHeight="true" outlineLevel="0" collapsed="false">
      <c r="A10" s="3" t="s">
        <v>14</v>
      </c>
      <c r="B10" s="4" t="s">
        <v>15</v>
      </c>
    </row>
    <row r="11" customFormat="false" ht="43.5" hidden="false" customHeight="true" outlineLevel="0" collapsed="false">
      <c r="A11" s="3" t="s">
        <v>16</v>
      </c>
      <c r="B11" s="4" t="s">
        <v>17</v>
      </c>
    </row>
    <row r="13" customFormat="false" ht="15" hidden="false" customHeight="false" outlineLevel="0" collapsed="false">
      <c r="A13" s="3" t="s">
        <v>18</v>
      </c>
    </row>
    <row r="14" customFormat="false" ht="15" hidden="false" customHeight="false" outlineLevel="0" collapsed="false">
      <c r="A14" s="5" t="s">
        <v>19</v>
      </c>
      <c r="B14" s="6" t="n">
        <f aca="false">COUNTA(Data!A2:A105)</f>
        <v>104</v>
      </c>
    </row>
    <row r="15" customFormat="false" ht="15" hidden="false" customHeight="false" outlineLevel="0" collapsed="false">
      <c r="A15" s="5" t="s">
        <v>20</v>
      </c>
      <c r="B15" s="7" t="n">
        <f aca="false">MIN(Data!A2:A105)</f>
        <v>45292</v>
      </c>
    </row>
    <row r="16" customFormat="false" ht="15" hidden="false" customHeight="false" outlineLevel="0" collapsed="false">
      <c r="A16" s="5" t="s">
        <v>21</v>
      </c>
      <c r="B16" s="7" t="n">
        <f aca="false">MAX(Data!A2:A105)</f>
        <v>46013</v>
      </c>
    </row>
    <row r="17" customFormat="false" ht="15" hidden="false" customHeight="false" outlineLevel="0" collapsed="false">
      <c r="A17" s="5" t="s">
        <v>22</v>
      </c>
      <c r="B17" s="8" t="n">
        <f aca="false">AVERAGE(Data!D2:D105)</f>
        <v>822496.153846154</v>
      </c>
    </row>
    <row r="18" customFormat="false" ht="15" hidden="false" customHeight="false" outlineLevel="0" collapsed="false">
      <c r="A18" s="5" t="s">
        <v>23</v>
      </c>
      <c r="B18" s="6" t="n">
        <f aca="false">SUM(Data!G2:G105)</f>
        <v>20</v>
      </c>
    </row>
    <row r="19" customFormat="false" ht="15" hidden="false" customHeight="false" outlineLevel="0" collapsed="false">
      <c r="A19" s="5" t="s">
        <v>24</v>
      </c>
      <c r="B19" s="9" t="n">
        <f aca="false">AVERAGE(Data!G2:G105)</f>
        <v>0.192307692307692</v>
      </c>
    </row>
    <row r="20" customFormat="false" ht="15" hidden="false" customHeight="false" outlineLevel="0" collapsed="false">
      <c r="A20" s="5" t="s">
        <v>25</v>
      </c>
      <c r="B20" s="6" t="n">
        <f aca="false">SUM(Data!I2:I105)</f>
        <v>8</v>
      </c>
    </row>
    <row r="21" customFormat="false" ht="15" hidden="false" customHeight="false" outlineLevel="0" collapsed="false">
      <c r="A21" s="5" t="s">
        <v>26</v>
      </c>
      <c r="B21" s="6" t="n">
        <f aca="false">SUM(Data!K2:K105)</f>
        <v>8</v>
      </c>
    </row>
    <row r="22" customFormat="false" ht="15" hidden="false" customHeight="false" outlineLevel="0" collapsed="false">
      <c r="A22" s="5" t="s">
        <v>27</v>
      </c>
      <c r="B22" s="10" t="str">
        <f aca="false">MIN(Data!F2:F105)&amp;" / "&amp;MAX(Data!F2:F105)</f>
        <v>66 / 82</v>
      </c>
    </row>
    <row r="23" customFormat="false" ht="15" hidden="false" customHeight="false" outlineLevel="0" collapsed="false">
      <c r="A23" s="5" t="s">
        <v>28</v>
      </c>
      <c r="B23" s="6" t="n">
        <f aca="false">COUNTA(Data!L2:L105)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9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1" min="10" style="0" width="13"/>
    <col collapsed="false" customWidth="true" hidden="false" outlineLevel="0" max="12" min="12" style="0" width="58"/>
  </cols>
  <sheetData>
    <row r="1" customFormat="false" ht="23.85" hidden="false" customHeight="false" outlineLevel="0" collapsed="false">
      <c r="A1" s="11" t="s">
        <v>29</v>
      </c>
      <c r="B1" s="11" t="s">
        <v>30</v>
      </c>
      <c r="C1" s="11" t="s">
        <v>31</v>
      </c>
      <c r="D1" s="11" t="s">
        <v>32</v>
      </c>
      <c r="E1" s="11" t="s">
        <v>33</v>
      </c>
      <c r="F1" s="11" t="s">
        <v>34</v>
      </c>
      <c r="G1" s="11" t="s">
        <v>35</v>
      </c>
      <c r="H1" s="11" t="s">
        <v>36</v>
      </c>
      <c r="I1" s="11" t="s">
        <v>37</v>
      </c>
      <c r="J1" s="11" t="s">
        <v>38</v>
      </c>
      <c r="K1" s="11" t="s">
        <v>39</v>
      </c>
      <c r="L1" s="11" t="s">
        <v>40</v>
      </c>
      <c r="N1" s="2" t="s">
        <v>1</v>
      </c>
    </row>
    <row r="2" customFormat="false" ht="15" hidden="false" customHeight="false" outlineLevel="0" collapsed="false">
      <c r="A2" s="12" t="n">
        <v>45292</v>
      </c>
      <c r="B2" s="5" t="s">
        <v>41</v>
      </c>
      <c r="C2" s="5" t="s">
        <v>42</v>
      </c>
      <c r="D2" s="13" t="n">
        <v>699300</v>
      </c>
      <c r="E2" s="13" t="n">
        <v>712500</v>
      </c>
      <c r="F2" s="5" t="n">
        <v>68</v>
      </c>
      <c r="G2" s="5" t="n">
        <v>0</v>
      </c>
      <c r="H2" s="5" t="n">
        <v>0</v>
      </c>
      <c r="I2" s="5" t="n">
        <v>0</v>
      </c>
      <c r="J2" s="14" t="n">
        <v>18.6</v>
      </c>
      <c r="K2" s="5" t="n">
        <v>0</v>
      </c>
    </row>
    <row r="3" customFormat="false" ht="15" hidden="false" customHeight="false" outlineLevel="0" collapsed="false">
      <c r="A3" s="12" t="n">
        <v>45299</v>
      </c>
      <c r="B3" s="5" t="s">
        <v>41</v>
      </c>
      <c r="C3" s="5" t="s">
        <v>42</v>
      </c>
      <c r="D3" s="13" t="n">
        <v>758700</v>
      </c>
      <c r="E3" s="13" t="n">
        <v>760600</v>
      </c>
      <c r="F3" s="5" t="n">
        <v>70</v>
      </c>
      <c r="G3" s="5" t="n">
        <v>1</v>
      </c>
      <c r="H3" s="5" t="n">
        <v>5</v>
      </c>
      <c r="I3" s="5" t="n">
        <v>0</v>
      </c>
      <c r="J3" s="14" t="n">
        <v>17.3</v>
      </c>
      <c r="K3" s="5" t="n">
        <v>0</v>
      </c>
    </row>
    <row r="4" customFormat="false" ht="15" hidden="false" customHeight="false" outlineLevel="0" collapsed="false">
      <c r="A4" s="12" t="n">
        <v>45306</v>
      </c>
      <c r="B4" s="5" t="s">
        <v>41</v>
      </c>
      <c r="C4" s="5" t="s">
        <v>42</v>
      </c>
      <c r="D4" s="13" t="n">
        <v>947700</v>
      </c>
      <c r="E4" s="13" t="n">
        <v>962800</v>
      </c>
      <c r="F4" s="5" t="n">
        <v>68</v>
      </c>
      <c r="G4" s="5" t="n">
        <v>1</v>
      </c>
      <c r="H4" s="5" t="n">
        <v>18</v>
      </c>
      <c r="I4" s="5" t="n">
        <v>0</v>
      </c>
      <c r="J4" s="14" t="n">
        <v>22.4</v>
      </c>
      <c r="K4" s="5" t="n">
        <v>0</v>
      </c>
    </row>
    <row r="5" customFormat="false" ht="15" hidden="false" customHeight="false" outlineLevel="0" collapsed="false">
      <c r="A5" s="12" t="n">
        <v>45313</v>
      </c>
      <c r="B5" s="5" t="s">
        <v>41</v>
      </c>
      <c r="C5" s="5" t="s">
        <v>42</v>
      </c>
      <c r="D5" s="13" t="n">
        <v>685600</v>
      </c>
      <c r="E5" s="13" t="n">
        <v>873300</v>
      </c>
      <c r="F5" s="5" t="n">
        <v>67</v>
      </c>
      <c r="G5" s="5" t="n">
        <v>0</v>
      </c>
      <c r="H5" s="5" t="n">
        <v>0</v>
      </c>
      <c r="I5" s="5" t="n">
        <v>0</v>
      </c>
      <c r="J5" s="14" t="n">
        <v>20.7</v>
      </c>
      <c r="K5" s="5" t="n">
        <v>0</v>
      </c>
    </row>
    <row r="6" customFormat="false" ht="15" hidden="false" customHeight="false" outlineLevel="0" collapsed="false">
      <c r="A6" s="12" t="n">
        <v>45320</v>
      </c>
      <c r="B6" s="5" t="s">
        <v>41</v>
      </c>
      <c r="C6" s="5" t="s">
        <v>42</v>
      </c>
      <c r="D6" s="13" t="n">
        <v>810900</v>
      </c>
      <c r="E6" s="13" t="n">
        <v>1026800</v>
      </c>
      <c r="F6" s="5" t="n">
        <v>66</v>
      </c>
      <c r="G6" s="5" t="n">
        <v>1</v>
      </c>
      <c r="H6" s="5" t="n">
        <v>15</v>
      </c>
      <c r="I6" s="5" t="n">
        <v>0</v>
      </c>
      <c r="J6" s="14" t="n">
        <v>17.6</v>
      </c>
      <c r="K6" s="5" t="n">
        <v>0</v>
      </c>
    </row>
    <row r="7" customFormat="false" ht="15" hidden="false" customHeight="false" outlineLevel="0" collapsed="false">
      <c r="A7" s="12" t="n">
        <v>45327</v>
      </c>
      <c r="B7" s="5" t="s">
        <v>41</v>
      </c>
      <c r="C7" s="5" t="s">
        <v>42</v>
      </c>
      <c r="D7" s="13" t="n">
        <v>820700</v>
      </c>
      <c r="E7" s="13" t="n">
        <v>921200</v>
      </c>
      <c r="F7" s="5" t="n">
        <v>70</v>
      </c>
      <c r="G7" s="5" t="n">
        <v>1</v>
      </c>
      <c r="H7" s="5" t="n">
        <v>8</v>
      </c>
      <c r="I7" s="5" t="n">
        <v>0</v>
      </c>
      <c r="J7" s="14" t="n">
        <v>18.5</v>
      </c>
      <c r="K7" s="5" t="n">
        <v>0</v>
      </c>
    </row>
    <row r="8" customFormat="false" ht="15" hidden="false" customHeight="false" outlineLevel="0" collapsed="false">
      <c r="A8" s="12" t="n">
        <v>45334</v>
      </c>
      <c r="B8" s="5" t="s">
        <v>41</v>
      </c>
      <c r="C8" s="5" t="s">
        <v>42</v>
      </c>
      <c r="D8" s="13" t="n">
        <v>760600</v>
      </c>
      <c r="E8" s="13" t="n">
        <v>778300</v>
      </c>
      <c r="F8" s="5" t="n">
        <v>69</v>
      </c>
      <c r="G8" s="5" t="n">
        <v>0</v>
      </c>
      <c r="H8" s="5" t="n">
        <v>0</v>
      </c>
      <c r="I8" s="5" t="n">
        <v>0</v>
      </c>
      <c r="J8" s="14" t="n">
        <v>21.7</v>
      </c>
      <c r="K8" s="5" t="n">
        <v>0</v>
      </c>
    </row>
    <row r="9" customFormat="false" ht="15" hidden="false" customHeight="false" outlineLevel="0" collapsed="false">
      <c r="A9" s="12" t="n">
        <v>45341</v>
      </c>
      <c r="B9" s="5" t="s">
        <v>41</v>
      </c>
      <c r="C9" s="5" t="s">
        <v>42</v>
      </c>
      <c r="D9" s="13" t="n">
        <v>808000</v>
      </c>
      <c r="E9" s="13" t="n">
        <v>746800</v>
      </c>
      <c r="F9" s="5" t="n">
        <v>68</v>
      </c>
      <c r="G9" s="5" t="n">
        <v>0</v>
      </c>
      <c r="H9" s="5" t="n">
        <v>0</v>
      </c>
      <c r="I9" s="5" t="n">
        <v>0</v>
      </c>
      <c r="J9" s="14" t="n">
        <v>21.9</v>
      </c>
      <c r="K9" s="5" t="n">
        <v>0</v>
      </c>
    </row>
    <row r="10" customFormat="false" ht="15" hidden="false" customHeight="false" outlineLevel="0" collapsed="false">
      <c r="A10" s="12" t="n">
        <v>45348</v>
      </c>
      <c r="B10" s="5" t="s">
        <v>41</v>
      </c>
      <c r="C10" s="5" t="s">
        <v>42</v>
      </c>
      <c r="D10" s="13" t="n">
        <v>748100</v>
      </c>
      <c r="E10" s="13" t="n">
        <v>793200</v>
      </c>
      <c r="F10" s="5" t="n">
        <v>67</v>
      </c>
      <c r="G10" s="5" t="n">
        <v>0</v>
      </c>
      <c r="H10" s="5" t="n">
        <v>0</v>
      </c>
      <c r="I10" s="5" t="n">
        <v>0</v>
      </c>
      <c r="J10" s="14" t="n">
        <v>22.4</v>
      </c>
      <c r="K10" s="5" t="n">
        <v>0</v>
      </c>
    </row>
    <row r="11" customFormat="false" ht="15" hidden="false" customHeight="false" outlineLevel="0" collapsed="false">
      <c r="A11" s="12" t="n">
        <v>45355</v>
      </c>
      <c r="B11" s="5" t="s">
        <v>41</v>
      </c>
      <c r="C11" s="5" t="s">
        <v>42</v>
      </c>
      <c r="D11" s="13" t="n">
        <v>831300</v>
      </c>
      <c r="E11" s="13" t="n">
        <v>877000</v>
      </c>
      <c r="F11" s="5" t="n">
        <v>70</v>
      </c>
      <c r="G11" s="5" t="n">
        <v>0</v>
      </c>
      <c r="H11" s="5" t="n">
        <v>0</v>
      </c>
      <c r="I11" s="5" t="n">
        <v>1</v>
      </c>
      <c r="J11" s="14" t="n">
        <v>24.2</v>
      </c>
      <c r="K11" s="5" t="n">
        <v>0</v>
      </c>
    </row>
    <row r="12" customFormat="false" ht="15" hidden="false" customHeight="false" outlineLevel="0" collapsed="false">
      <c r="A12" s="12" t="n">
        <v>45362</v>
      </c>
      <c r="B12" s="5" t="s">
        <v>41</v>
      </c>
      <c r="C12" s="5" t="s">
        <v>42</v>
      </c>
      <c r="D12" s="13" t="n">
        <v>949700</v>
      </c>
      <c r="E12" s="13" t="n">
        <v>879200</v>
      </c>
      <c r="F12" s="5" t="n">
        <v>70</v>
      </c>
      <c r="G12" s="5" t="n">
        <v>0</v>
      </c>
      <c r="H12" s="5" t="n">
        <v>0</v>
      </c>
      <c r="I12" s="5" t="n">
        <v>1</v>
      </c>
      <c r="J12" s="14" t="n">
        <v>27.9</v>
      </c>
      <c r="K12" s="5" t="n">
        <v>0</v>
      </c>
    </row>
    <row r="13" customFormat="false" ht="15" hidden="false" customHeight="false" outlineLevel="0" collapsed="false">
      <c r="A13" s="12" t="n">
        <v>45369</v>
      </c>
      <c r="B13" s="5" t="s">
        <v>41</v>
      </c>
      <c r="C13" s="5" t="s">
        <v>42</v>
      </c>
      <c r="D13" s="13" t="n">
        <v>709900</v>
      </c>
      <c r="E13" s="13" t="n">
        <v>802500</v>
      </c>
      <c r="F13" s="5" t="n">
        <v>67</v>
      </c>
      <c r="G13" s="5" t="n">
        <v>0</v>
      </c>
      <c r="H13" s="5" t="n">
        <v>0</v>
      </c>
      <c r="I13" s="5" t="n">
        <v>0</v>
      </c>
      <c r="J13" s="14" t="n">
        <v>26.6</v>
      </c>
      <c r="K13" s="5" t="n">
        <v>1</v>
      </c>
    </row>
    <row r="14" customFormat="false" ht="15" hidden="false" customHeight="false" outlineLevel="0" collapsed="false">
      <c r="A14" s="12" t="n">
        <v>45376</v>
      </c>
      <c r="B14" s="5" t="s">
        <v>41</v>
      </c>
      <c r="C14" s="5" t="s">
        <v>42</v>
      </c>
      <c r="D14" s="13" t="n">
        <v>768100</v>
      </c>
      <c r="E14" s="13" t="n">
        <v>813400</v>
      </c>
      <c r="F14" s="5" t="n">
        <v>68</v>
      </c>
      <c r="G14" s="5" t="n">
        <v>0</v>
      </c>
      <c r="H14" s="5" t="n">
        <v>0</v>
      </c>
      <c r="I14" s="5" t="n">
        <v>0</v>
      </c>
      <c r="J14" s="14" t="n">
        <v>26.9</v>
      </c>
      <c r="K14" s="5" t="n">
        <v>0</v>
      </c>
    </row>
    <row r="15" customFormat="false" ht="15" hidden="false" customHeight="false" outlineLevel="0" collapsed="false">
      <c r="A15" s="12" t="n">
        <v>45383</v>
      </c>
      <c r="B15" s="5" t="s">
        <v>41</v>
      </c>
      <c r="C15" s="5" t="s">
        <v>42</v>
      </c>
      <c r="D15" s="13" t="n">
        <v>1021700</v>
      </c>
      <c r="E15" s="13" t="n">
        <v>937200</v>
      </c>
      <c r="F15" s="5" t="n">
        <v>69</v>
      </c>
      <c r="G15" s="5" t="n">
        <v>1</v>
      </c>
      <c r="H15" s="5" t="n">
        <v>10</v>
      </c>
      <c r="I15" s="5" t="n">
        <v>0</v>
      </c>
      <c r="J15" s="14" t="n">
        <v>26.3</v>
      </c>
      <c r="K15" s="5" t="n">
        <v>0</v>
      </c>
    </row>
    <row r="16" customFormat="false" ht="15" hidden="false" customHeight="false" outlineLevel="0" collapsed="false">
      <c r="A16" s="12" t="n">
        <v>45390</v>
      </c>
      <c r="B16" s="5" t="s">
        <v>41</v>
      </c>
      <c r="C16" s="5" t="s">
        <v>42</v>
      </c>
      <c r="D16" s="13" t="n">
        <v>1229900</v>
      </c>
      <c r="E16" s="13" t="n">
        <v>1053600</v>
      </c>
      <c r="F16" s="5" t="n">
        <v>68</v>
      </c>
      <c r="G16" s="5" t="n">
        <v>1</v>
      </c>
      <c r="H16" s="5" t="n">
        <v>15</v>
      </c>
      <c r="I16" s="5" t="n">
        <v>1</v>
      </c>
      <c r="J16" s="14" t="n">
        <v>30.7</v>
      </c>
      <c r="K16" s="5" t="n">
        <v>0</v>
      </c>
    </row>
    <row r="17" customFormat="false" ht="15" hidden="false" customHeight="false" outlineLevel="0" collapsed="false">
      <c r="A17" s="12" t="n">
        <v>45397</v>
      </c>
      <c r="B17" s="5" t="s">
        <v>41</v>
      </c>
      <c r="C17" s="5" t="s">
        <v>42</v>
      </c>
      <c r="D17" s="13" t="n">
        <v>789200</v>
      </c>
      <c r="E17" s="13" t="n">
        <v>859700</v>
      </c>
      <c r="F17" s="5" t="n">
        <v>69</v>
      </c>
      <c r="G17" s="5" t="n">
        <v>0</v>
      </c>
      <c r="H17" s="5" t="n">
        <v>0</v>
      </c>
      <c r="I17" s="5" t="n">
        <v>0</v>
      </c>
      <c r="J17" s="14" t="n">
        <v>28.1</v>
      </c>
      <c r="K17" s="5" t="n">
        <v>0</v>
      </c>
    </row>
    <row r="18" customFormat="false" ht="15" hidden="false" customHeight="false" outlineLevel="0" collapsed="false">
      <c r="A18" s="12" t="n">
        <v>45404</v>
      </c>
      <c r="B18" s="5" t="s">
        <v>41</v>
      </c>
      <c r="C18" s="5" t="s">
        <v>42</v>
      </c>
      <c r="D18" s="13" t="n">
        <v>934100</v>
      </c>
      <c r="E18" s="13" t="n">
        <v>1025200</v>
      </c>
      <c r="F18" s="5" t="n">
        <v>66</v>
      </c>
      <c r="G18" s="5" t="n">
        <v>0</v>
      </c>
      <c r="H18" s="5" t="n">
        <v>0</v>
      </c>
      <c r="I18" s="5" t="n">
        <v>0</v>
      </c>
      <c r="J18" s="14" t="n">
        <v>31.4</v>
      </c>
      <c r="K18" s="5" t="n">
        <v>0</v>
      </c>
    </row>
    <row r="19" customFormat="false" ht="15" hidden="false" customHeight="false" outlineLevel="0" collapsed="false">
      <c r="A19" s="12" t="n">
        <v>45411</v>
      </c>
      <c r="B19" s="5" t="s">
        <v>41</v>
      </c>
      <c r="C19" s="5" t="s">
        <v>42</v>
      </c>
      <c r="D19" s="13" t="n">
        <v>1016600</v>
      </c>
      <c r="E19" s="13" t="n">
        <v>1038100</v>
      </c>
      <c r="F19" s="5" t="n">
        <v>69</v>
      </c>
      <c r="G19" s="5" t="n">
        <v>0</v>
      </c>
      <c r="H19" s="5" t="n">
        <v>0</v>
      </c>
      <c r="I19" s="5" t="n">
        <v>0</v>
      </c>
      <c r="J19" s="14" t="n">
        <v>31.3</v>
      </c>
      <c r="K19" s="5" t="n">
        <v>0</v>
      </c>
    </row>
    <row r="20" customFormat="false" ht="15" hidden="false" customHeight="false" outlineLevel="0" collapsed="false">
      <c r="A20" s="12" t="n">
        <v>45418</v>
      </c>
      <c r="B20" s="5" t="s">
        <v>41</v>
      </c>
      <c r="C20" s="5" t="s">
        <v>42</v>
      </c>
      <c r="D20" s="13" t="n">
        <v>849700</v>
      </c>
      <c r="E20" s="13" t="n">
        <v>1076000</v>
      </c>
      <c r="F20" s="5" t="n">
        <v>70</v>
      </c>
      <c r="G20" s="5" t="n">
        <v>0</v>
      </c>
      <c r="H20" s="5" t="n">
        <v>0</v>
      </c>
      <c r="I20" s="5" t="n">
        <v>0</v>
      </c>
      <c r="J20" s="14" t="n">
        <v>30.7</v>
      </c>
      <c r="K20" s="5" t="n">
        <v>0</v>
      </c>
    </row>
    <row r="21" customFormat="false" ht="15" hidden="false" customHeight="false" outlineLevel="0" collapsed="false">
      <c r="A21" s="12" t="n">
        <v>45425</v>
      </c>
      <c r="B21" s="5" t="s">
        <v>41</v>
      </c>
      <c r="C21" s="5" t="s">
        <v>42</v>
      </c>
      <c r="D21" s="13" t="n">
        <v>887100</v>
      </c>
      <c r="E21" s="13" t="n">
        <v>910100</v>
      </c>
      <c r="F21" s="5" t="n">
        <v>70</v>
      </c>
      <c r="G21" s="5" t="n">
        <v>0</v>
      </c>
      <c r="H21" s="5" t="n">
        <v>0</v>
      </c>
      <c r="I21" s="5" t="n">
        <v>0</v>
      </c>
      <c r="J21" s="14" t="n">
        <v>30.6</v>
      </c>
      <c r="K21" s="5" t="n">
        <v>0</v>
      </c>
    </row>
    <row r="22" customFormat="false" ht="15" hidden="false" customHeight="false" outlineLevel="0" collapsed="false">
      <c r="A22" s="12" t="n">
        <v>45432</v>
      </c>
      <c r="B22" s="5" t="s">
        <v>41</v>
      </c>
      <c r="C22" s="5" t="s">
        <v>42</v>
      </c>
      <c r="D22" s="13" t="n">
        <v>843700</v>
      </c>
      <c r="E22" s="13" t="n">
        <v>950100</v>
      </c>
      <c r="F22" s="5" t="n">
        <v>68</v>
      </c>
      <c r="G22" s="5" t="n">
        <v>0</v>
      </c>
      <c r="H22" s="5" t="n">
        <v>0</v>
      </c>
      <c r="I22" s="5" t="n">
        <v>0</v>
      </c>
      <c r="J22" s="14" t="n">
        <v>31.1</v>
      </c>
      <c r="K22" s="5" t="n">
        <v>0</v>
      </c>
    </row>
    <row r="23" customFormat="false" ht="15" hidden="false" customHeight="false" outlineLevel="0" collapsed="false">
      <c r="A23" s="12" t="n">
        <v>45439</v>
      </c>
      <c r="B23" s="5" t="s">
        <v>41</v>
      </c>
      <c r="C23" s="5" t="s">
        <v>42</v>
      </c>
      <c r="D23" s="13" t="n">
        <v>881900</v>
      </c>
      <c r="E23" s="13" t="n">
        <v>944700</v>
      </c>
      <c r="F23" s="5" t="n">
        <v>67</v>
      </c>
      <c r="G23" s="5" t="n">
        <v>0</v>
      </c>
      <c r="H23" s="5" t="n">
        <v>0</v>
      </c>
      <c r="I23" s="5" t="n">
        <v>0</v>
      </c>
      <c r="J23" s="14" t="n">
        <v>31.6</v>
      </c>
      <c r="K23" s="5" t="n">
        <v>0</v>
      </c>
    </row>
    <row r="24" customFormat="false" ht="15" hidden="false" customHeight="false" outlineLevel="0" collapsed="false">
      <c r="A24" s="12" t="n">
        <v>45446</v>
      </c>
      <c r="B24" s="5" t="s">
        <v>41</v>
      </c>
      <c r="C24" s="5" t="s">
        <v>42</v>
      </c>
      <c r="D24" s="13" t="n">
        <v>1040000</v>
      </c>
      <c r="E24" s="13" t="n">
        <v>860600</v>
      </c>
      <c r="F24" s="5" t="n">
        <v>67</v>
      </c>
      <c r="G24" s="5" t="n">
        <v>0</v>
      </c>
      <c r="H24" s="5" t="n">
        <v>0</v>
      </c>
      <c r="I24" s="5" t="n">
        <v>0</v>
      </c>
      <c r="J24" s="14" t="n">
        <v>34.8</v>
      </c>
      <c r="K24" s="5" t="n">
        <v>0</v>
      </c>
    </row>
    <row r="25" customFormat="false" ht="15" hidden="false" customHeight="false" outlineLevel="0" collapsed="false">
      <c r="A25" s="12" t="n">
        <v>45453</v>
      </c>
      <c r="B25" s="5" t="s">
        <v>41</v>
      </c>
      <c r="C25" s="5" t="s">
        <v>42</v>
      </c>
      <c r="D25" s="13" t="n">
        <v>937000</v>
      </c>
      <c r="E25" s="13" t="n">
        <v>963400</v>
      </c>
      <c r="F25" s="5" t="n">
        <v>68</v>
      </c>
      <c r="G25" s="5" t="n">
        <v>0</v>
      </c>
      <c r="H25" s="5" t="n">
        <v>0</v>
      </c>
      <c r="I25" s="5" t="n">
        <v>0</v>
      </c>
      <c r="J25" s="14" t="n">
        <v>31.7</v>
      </c>
      <c r="K25" s="5" t="n">
        <v>0</v>
      </c>
    </row>
    <row r="26" customFormat="false" ht="15" hidden="false" customHeight="false" outlineLevel="0" collapsed="false">
      <c r="A26" s="12" t="n">
        <v>45460</v>
      </c>
      <c r="B26" s="5" t="s">
        <v>41</v>
      </c>
      <c r="C26" s="5" t="s">
        <v>42</v>
      </c>
      <c r="D26" s="13" t="n">
        <v>1072300</v>
      </c>
      <c r="E26" s="13" t="n">
        <v>962500</v>
      </c>
      <c r="F26" s="5" t="n">
        <v>68</v>
      </c>
      <c r="G26" s="5" t="n">
        <v>0</v>
      </c>
      <c r="H26" s="5" t="n">
        <v>0</v>
      </c>
      <c r="I26" s="5" t="n">
        <v>1</v>
      </c>
      <c r="J26" s="14" t="n">
        <v>34.1</v>
      </c>
      <c r="K26" s="5" t="n">
        <v>0</v>
      </c>
    </row>
    <row r="27" customFormat="false" ht="15" hidden="false" customHeight="false" outlineLevel="0" collapsed="false">
      <c r="A27" s="12" t="n">
        <v>45467</v>
      </c>
      <c r="B27" s="5" t="s">
        <v>41</v>
      </c>
      <c r="C27" s="5" t="s">
        <v>42</v>
      </c>
      <c r="D27" s="13" t="n">
        <v>826800</v>
      </c>
      <c r="E27" s="13" t="n">
        <v>945000</v>
      </c>
      <c r="F27" s="5" t="n">
        <v>70</v>
      </c>
      <c r="G27" s="5" t="n">
        <v>0</v>
      </c>
      <c r="H27" s="5" t="n">
        <v>0</v>
      </c>
      <c r="I27" s="5" t="n">
        <v>0</v>
      </c>
      <c r="J27" s="14" t="n">
        <v>32.6</v>
      </c>
      <c r="K27" s="5" t="n">
        <v>0</v>
      </c>
    </row>
    <row r="28" customFormat="false" ht="15" hidden="false" customHeight="false" outlineLevel="0" collapsed="false">
      <c r="A28" s="12" t="n">
        <v>45474</v>
      </c>
      <c r="B28" s="5" t="s">
        <v>41</v>
      </c>
      <c r="C28" s="5" t="s">
        <v>42</v>
      </c>
      <c r="D28" s="13" t="n">
        <v>601000</v>
      </c>
      <c r="E28" s="13" t="n">
        <v>963200</v>
      </c>
      <c r="F28" s="5" t="n">
        <v>73</v>
      </c>
      <c r="G28" s="5" t="n">
        <v>0</v>
      </c>
      <c r="H28" s="5" t="n">
        <v>0</v>
      </c>
      <c r="I28" s="5" t="n">
        <v>0</v>
      </c>
      <c r="J28" s="14" t="n">
        <v>31.7</v>
      </c>
      <c r="K28" s="5" t="n">
        <v>1</v>
      </c>
    </row>
    <row r="29" customFormat="false" ht="15" hidden="false" customHeight="false" outlineLevel="0" collapsed="false">
      <c r="A29" s="12" t="n">
        <v>45481</v>
      </c>
      <c r="B29" s="5" t="s">
        <v>41</v>
      </c>
      <c r="C29" s="5" t="s">
        <v>42</v>
      </c>
      <c r="D29" s="13" t="n">
        <v>869000</v>
      </c>
      <c r="E29" s="13" t="n">
        <v>986900</v>
      </c>
      <c r="F29" s="5" t="n">
        <v>70</v>
      </c>
      <c r="G29" s="5" t="n">
        <v>0</v>
      </c>
      <c r="H29" s="5" t="n">
        <v>0</v>
      </c>
      <c r="I29" s="5" t="n">
        <v>0</v>
      </c>
      <c r="J29" s="14" t="n">
        <v>32.3</v>
      </c>
      <c r="K29" s="5" t="n">
        <v>0</v>
      </c>
    </row>
    <row r="30" customFormat="false" ht="15" hidden="false" customHeight="false" outlineLevel="0" collapsed="false">
      <c r="A30" s="12" t="n">
        <v>45488</v>
      </c>
      <c r="B30" s="5" t="s">
        <v>41</v>
      </c>
      <c r="C30" s="5" t="s">
        <v>42</v>
      </c>
      <c r="D30" s="13" t="n">
        <v>861700</v>
      </c>
      <c r="E30" s="13" t="n">
        <v>878600</v>
      </c>
      <c r="F30" s="5" t="n">
        <v>74</v>
      </c>
      <c r="G30" s="5" t="n">
        <v>0</v>
      </c>
      <c r="H30" s="5" t="n">
        <v>0</v>
      </c>
      <c r="I30" s="5" t="n">
        <v>0</v>
      </c>
      <c r="J30" s="14" t="n">
        <v>28.3</v>
      </c>
      <c r="K30" s="5" t="n">
        <v>0</v>
      </c>
    </row>
    <row r="31" customFormat="false" ht="15" hidden="false" customHeight="false" outlineLevel="0" collapsed="false">
      <c r="A31" s="12" t="n">
        <v>45495</v>
      </c>
      <c r="B31" s="5" t="s">
        <v>41</v>
      </c>
      <c r="C31" s="5" t="s">
        <v>42</v>
      </c>
      <c r="D31" s="13" t="n">
        <v>955700</v>
      </c>
      <c r="E31" s="13" t="n">
        <v>842700</v>
      </c>
      <c r="F31" s="5" t="n">
        <v>74</v>
      </c>
      <c r="G31" s="5" t="n">
        <v>0</v>
      </c>
      <c r="H31" s="5" t="n">
        <v>0</v>
      </c>
      <c r="I31" s="5" t="n">
        <v>0</v>
      </c>
      <c r="J31" s="14" t="n">
        <v>32</v>
      </c>
      <c r="K31" s="5" t="n">
        <v>0</v>
      </c>
    </row>
    <row r="32" customFormat="false" ht="15" hidden="false" customHeight="false" outlineLevel="0" collapsed="false">
      <c r="A32" s="12" t="n">
        <v>45502</v>
      </c>
      <c r="B32" s="5" t="s">
        <v>41</v>
      </c>
      <c r="C32" s="5" t="s">
        <v>42</v>
      </c>
      <c r="D32" s="13" t="n">
        <v>999400</v>
      </c>
      <c r="E32" s="13" t="n">
        <v>875000</v>
      </c>
      <c r="F32" s="5" t="n">
        <v>70</v>
      </c>
      <c r="G32" s="5" t="n">
        <v>0</v>
      </c>
      <c r="H32" s="5" t="n">
        <v>0</v>
      </c>
      <c r="I32" s="5" t="n">
        <v>0</v>
      </c>
      <c r="J32" s="14" t="n">
        <v>29</v>
      </c>
      <c r="K32" s="5" t="n">
        <v>0</v>
      </c>
    </row>
    <row r="33" customFormat="false" ht="15" hidden="false" customHeight="false" outlineLevel="0" collapsed="false">
      <c r="A33" s="12" t="n">
        <v>45509</v>
      </c>
      <c r="B33" s="5" t="s">
        <v>41</v>
      </c>
      <c r="C33" s="5" t="s">
        <v>42</v>
      </c>
      <c r="D33" s="13" t="n">
        <v>957000</v>
      </c>
      <c r="E33" s="13" t="n">
        <v>908700</v>
      </c>
      <c r="F33" s="5" t="n">
        <v>70</v>
      </c>
      <c r="G33" s="5" t="n">
        <v>0</v>
      </c>
      <c r="H33" s="5" t="n">
        <v>0</v>
      </c>
      <c r="I33" s="5" t="n">
        <v>0</v>
      </c>
      <c r="J33" s="14" t="n">
        <v>30.7</v>
      </c>
      <c r="K33" s="5" t="n">
        <v>0</v>
      </c>
    </row>
    <row r="34" customFormat="false" ht="15" hidden="false" customHeight="false" outlineLevel="0" collapsed="false">
      <c r="A34" s="12" t="n">
        <v>45516</v>
      </c>
      <c r="B34" s="5" t="s">
        <v>41</v>
      </c>
      <c r="C34" s="5" t="s">
        <v>42</v>
      </c>
      <c r="D34" s="13" t="n">
        <v>831000</v>
      </c>
      <c r="E34" s="13" t="n">
        <v>937000</v>
      </c>
      <c r="F34" s="5" t="n">
        <v>72</v>
      </c>
      <c r="G34" s="5" t="n">
        <v>0</v>
      </c>
      <c r="H34" s="5" t="n">
        <v>0</v>
      </c>
      <c r="I34" s="5" t="n">
        <v>0</v>
      </c>
      <c r="J34" s="14" t="n">
        <v>30.7</v>
      </c>
      <c r="K34" s="5" t="n">
        <v>0</v>
      </c>
    </row>
    <row r="35" customFormat="false" ht="15" hidden="false" customHeight="false" outlineLevel="0" collapsed="false">
      <c r="A35" s="12" t="n">
        <v>45523</v>
      </c>
      <c r="B35" s="5" t="s">
        <v>41</v>
      </c>
      <c r="C35" s="5" t="s">
        <v>42</v>
      </c>
      <c r="D35" s="13" t="n">
        <v>770100</v>
      </c>
      <c r="E35" s="13" t="n">
        <v>976300</v>
      </c>
      <c r="F35" s="5" t="n">
        <v>72</v>
      </c>
      <c r="G35" s="5" t="n">
        <v>0</v>
      </c>
      <c r="H35" s="5" t="n">
        <v>0</v>
      </c>
      <c r="I35" s="5" t="n">
        <v>0</v>
      </c>
      <c r="J35" s="14" t="n">
        <v>26.4</v>
      </c>
      <c r="K35" s="5" t="n">
        <v>0</v>
      </c>
    </row>
    <row r="36" customFormat="false" ht="15" hidden="false" customHeight="false" outlineLevel="0" collapsed="false">
      <c r="A36" s="12" t="n">
        <v>45530</v>
      </c>
      <c r="B36" s="5" t="s">
        <v>41</v>
      </c>
      <c r="C36" s="5" t="s">
        <v>42</v>
      </c>
      <c r="D36" s="13" t="n">
        <v>673000</v>
      </c>
      <c r="E36" s="13" t="n">
        <v>888600</v>
      </c>
      <c r="F36" s="5" t="n">
        <v>72</v>
      </c>
      <c r="G36" s="5" t="n">
        <v>0</v>
      </c>
      <c r="H36" s="5" t="n">
        <v>0</v>
      </c>
      <c r="I36" s="5" t="n">
        <v>0</v>
      </c>
      <c r="J36" s="14" t="n">
        <v>29.4</v>
      </c>
      <c r="K36" s="5" t="n">
        <v>0</v>
      </c>
      <c r="L36" s="5" t="s">
        <v>43</v>
      </c>
    </row>
    <row r="37" customFormat="false" ht="15" hidden="false" customHeight="false" outlineLevel="0" collapsed="false">
      <c r="A37" s="12" t="n">
        <v>45537</v>
      </c>
      <c r="B37" s="5" t="s">
        <v>41</v>
      </c>
      <c r="C37" s="5" t="s">
        <v>42</v>
      </c>
      <c r="D37" s="13" t="n">
        <v>945800</v>
      </c>
      <c r="E37" s="13" t="n">
        <v>1052200</v>
      </c>
      <c r="F37" s="5" t="n">
        <v>73</v>
      </c>
      <c r="G37" s="5" t="n">
        <v>1</v>
      </c>
      <c r="H37" s="5" t="n">
        <v>15</v>
      </c>
      <c r="I37" s="5" t="n">
        <v>0</v>
      </c>
      <c r="J37" s="14" t="n">
        <v>25.6</v>
      </c>
      <c r="K37" s="5" t="n">
        <v>0</v>
      </c>
      <c r="L37" s="5" t="s">
        <v>43</v>
      </c>
    </row>
    <row r="38" customFormat="false" ht="15" hidden="false" customHeight="false" outlineLevel="0" collapsed="false">
      <c r="A38" s="12" t="n">
        <v>45544</v>
      </c>
      <c r="B38" s="5" t="s">
        <v>41</v>
      </c>
      <c r="C38" s="5" t="s">
        <v>42</v>
      </c>
      <c r="D38" s="13" t="n">
        <v>882800</v>
      </c>
      <c r="E38" s="13" t="n">
        <v>877600</v>
      </c>
      <c r="F38" s="5" t="n">
        <v>72</v>
      </c>
      <c r="G38" s="5" t="n">
        <v>1</v>
      </c>
      <c r="H38" s="5" t="n">
        <v>10</v>
      </c>
      <c r="I38" s="5" t="n">
        <v>0</v>
      </c>
      <c r="J38" s="14" t="n">
        <v>23.1</v>
      </c>
      <c r="K38" s="5" t="n">
        <v>0</v>
      </c>
    </row>
    <row r="39" customFormat="false" ht="15" hidden="false" customHeight="false" outlineLevel="0" collapsed="false">
      <c r="A39" s="12" t="n">
        <v>45551</v>
      </c>
      <c r="B39" s="5" t="s">
        <v>41</v>
      </c>
      <c r="C39" s="5" t="s">
        <v>42</v>
      </c>
      <c r="D39" s="13" t="n">
        <v>910600</v>
      </c>
      <c r="E39" s="13" t="n">
        <v>941000</v>
      </c>
      <c r="F39" s="5" t="n">
        <v>71</v>
      </c>
      <c r="G39" s="5" t="n">
        <v>1</v>
      </c>
      <c r="H39" s="5" t="n">
        <v>15</v>
      </c>
      <c r="I39" s="5" t="n">
        <v>0</v>
      </c>
      <c r="J39" s="14" t="n">
        <v>25.3</v>
      </c>
      <c r="K39" s="5" t="n">
        <v>0</v>
      </c>
    </row>
    <row r="40" customFormat="false" ht="15" hidden="false" customHeight="false" outlineLevel="0" collapsed="false">
      <c r="A40" s="12" t="n">
        <v>45558</v>
      </c>
      <c r="B40" s="5" t="s">
        <v>41</v>
      </c>
      <c r="C40" s="5" t="s">
        <v>42</v>
      </c>
      <c r="D40" s="13" t="n">
        <v>748000</v>
      </c>
      <c r="E40" s="13" t="n">
        <v>852800</v>
      </c>
      <c r="F40" s="5" t="n">
        <v>70</v>
      </c>
      <c r="G40" s="5" t="n">
        <v>0</v>
      </c>
      <c r="H40" s="5" t="n">
        <v>0</v>
      </c>
      <c r="I40" s="5" t="n">
        <v>0</v>
      </c>
      <c r="J40" s="14" t="n">
        <v>23.5</v>
      </c>
      <c r="K40" s="5" t="n">
        <v>0</v>
      </c>
    </row>
    <row r="41" customFormat="false" ht="15" hidden="false" customHeight="false" outlineLevel="0" collapsed="false">
      <c r="A41" s="12" t="n">
        <v>45565</v>
      </c>
      <c r="B41" s="5" t="s">
        <v>41</v>
      </c>
      <c r="C41" s="5" t="s">
        <v>42</v>
      </c>
      <c r="D41" s="13" t="n">
        <v>709100</v>
      </c>
      <c r="E41" s="13" t="n">
        <v>897900</v>
      </c>
      <c r="F41" s="5" t="n">
        <v>74</v>
      </c>
      <c r="G41" s="5" t="n">
        <v>0</v>
      </c>
      <c r="H41" s="5" t="n">
        <v>0</v>
      </c>
      <c r="I41" s="5" t="n">
        <v>0</v>
      </c>
      <c r="J41" s="14" t="n">
        <v>20.7</v>
      </c>
      <c r="K41" s="5" t="n">
        <v>0</v>
      </c>
    </row>
    <row r="42" customFormat="false" ht="15" hidden="false" customHeight="false" outlineLevel="0" collapsed="false">
      <c r="A42" s="12" t="n">
        <v>45572</v>
      </c>
      <c r="B42" s="5" t="s">
        <v>41</v>
      </c>
      <c r="C42" s="5" t="s">
        <v>42</v>
      </c>
      <c r="D42" s="13" t="n">
        <v>762700</v>
      </c>
      <c r="E42" s="13" t="n">
        <v>834900</v>
      </c>
      <c r="F42" s="5" t="n">
        <v>71</v>
      </c>
      <c r="G42" s="5" t="n">
        <v>0</v>
      </c>
      <c r="H42" s="5" t="n">
        <v>0</v>
      </c>
      <c r="I42" s="5" t="n">
        <v>0</v>
      </c>
      <c r="J42" s="14" t="n">
        <v>21.6</v>
      </c>
      <c r="K42" s="5" t="n">
        <v>0</v>
      </c>
    </row>
    <row r="43" customFormat="false" ht="15" hidden="false" customHeight="false" outlineLevel="0" collapsed="false">
      <c r="A43" s="12" t="n">
        <v>45579</v>
      </c>
      <c r="B43" s="5" t="s">
        <v>41</v>
      </c>
      <c r="C43" s="5" t="s">
        <v>42</v>
      </c>
      <c r="D43" s="13" t="n">
        <v>761800</v>
      </c>
      <c r="E43" s="13" t="n">
        <v>781000</v>
      </c>
      <c r="F43" s="5" t="n">
        <v>72</v>
      </c>
      <c r="G43" s="5" t="n">
        <v>0</v>
      </c>
      <c r="H43" s="5" t="n">
        <v>0</v>
      </c>
      <c r="I43" s="5" t="n">
        <v>0</v>
      </c>
      <c r="J43" s="14" t="n">
        <v>23.1</v>
      </c>
      <c r="K43" s="5" t="n">
        <v>0</v>
      </c>
    </row>
    <row r="44" customFormat="false" ht="15" hidden="false" customHeight="false" outlineLevel="0" collapsed="false">
      <c r="A44" s="12" t="n">
        <v>45586</v>
      </c>
      <c r="B44" s="5" t="s">
        <v>41</v>
      </c>
      <c r="C44" s="5" t="s">
        <v>42</v>
      </c>
      <c r="D44" s="13" t="n">
        <v>660400</v>
      </c>
      <c r="E44" s="13" t="n">
        <v>776500</v>
      </c>
      <c r="F44" s="5" t="n">
        <v>72</v>
      </c>
      <c r="G44" s="5" t="n">
        <v>0</v>
      </c>
      <c r="H44" s="5" t="n">
        <v>0</v>
      </c>
      <c r="I44" s="5" t="n">
        <v>0</v>
      </c>
      <c r="J44" s="14" t="n">
        <v>17.9</v>
      </c>
      <c r="K44" s="5" t="n">
        <v>0</v>
      </c>
    </row>
    <row r="45" customFormat="false" ht="15" hidden="false" customHeight="false" outlineLevel="0" collapsed="false">
      <c r="A45" s="12" t="n">
        <v>45593</v>
      </c>
      <c r="B45" s="5" t="s">
        <v>41</v>
      </c>
      <c r="C45" s="5" t="s">
        <v>42</v>
      </c>
      <c r="D45" s="13" t="n">
        <v>492300</v>
      </c>
      <c r="E45" s="13" t="n">
        <v>757000</v>
      </c>
      <c r="F45" s="5" t="n">
        <v>74</v>
      </c>
      <c r="G45" s="5" t="n">
        <v>0</v>
      </c>
      <c r="H45" s="5" t="n">
        <v>0</v>
      </c>
      <c r="I45" s="5" t="n">
        <v>0</v>
      </c>
      <c r="J45" s="14" t="n">
        <v>19.6</v>
      </c>
      <c r="K45" s="5" t="n">
        <v>1</v>
      </c>
    </row>
    <row r="46" customFormat="false" ht="15" hidden="false" customHeight="false" outlineLevel="0" collapsed="false">
      <c r="A46" s="12" t="n">
        <v>45600</v>
      </c>
      <c r="B46" s="5" t="s">
        <v>41</v>
      </c>
      <c r="C46" s="5" t="s">
        <v>42</v>
      </c>
      <c r="D46" s="13" t="n">
        <v>701300</v>
      </c>
      <c r="E46" s="13" t="n">
        <v>639800</v>
      </c>
      <c r="F46" s="5" t="n">
        <v>72</v>
      </c>
      <c r="G46" s="5" t="n">
        <v>0</v>
      </c>
      <c r="H46" s="5" t="n">
        <v>0</v>
      </c>
      <c r="I46" s="5" t="n">
        <v>0</v>
      </c>
      <c r="J46" s="14" t="n">
        <v>18.3</v>
      </c>
      <c r="K46" s="5" t="n">
        <v>0</v>
      </c>
    </row>
    <row r="47" customFormat="false" ht="15" hidden="false" customHeight="false" outlineLevel="0" collapsed="false">
      <c r="A47" s="12" t="n">
        <v>45607</v>
      </c>
      <c r="B47" s="5" t="s">
        <v>41</v>
      </c>
      <c r="C47" s="5" t="s">
        <v>42</v>
      </c>
      <c r="D47" s="13" t="n">
        <v>716400</v>
      </c>
      <c r="E47" s="13" t="n">
        <v>680200</v>
      </c>
      <c r="F47" s="5" t="n">
        <v>72</v>
      </c>
      <c r="G47" s="5" t="n">
        <v>0</v>
      </c>
      <c r="H47" s="5" t="n">
        <v>0</v>
      </c>
      <c r="I47" s="5" t="n">
        <v>0</v>
      </c>
      <c r="J47" s="14" t="n">
        <v>18.1</v>
      </c>
      <c r="K47" s="5" t="n">
        <v>0</v>
      </c>
    </row>
    <row r="48" customFormat="false" ht="15" hidden="false" customHeight="false" outlineLevel="0" collapsed="false">
      <c r="A48" s="12" t="n">
        <v>45614</v>
      </c>
      <c r="B48" s="5" t="s">
        <v>41</v>
      </c>
      <c r="C48" s="5" t="s">
        <v>42</v>
      </c>
      <c r="D48" s="13" t="n">
        <v>727400</v>
      </c>
      <c r="E48" s="13" t="n">
        <v>659000</v>
      </c>
      <c r="F48" s="5" t="n">
        <v>70</v>
      </c>
      <c r="G48" s="5" t="n">
        <v>0</v>
      </c>
      <c r="H48" s="5" t="n">
        <v>0</v>
      </c>
      <c r="I48" s="5" t="n">
        <v>0</v>
      </c>
      <c r="J48" s="14" t="n">
        <v>17.9</v>
      </c>
      <c r="K48" s="5" t="n">
        <v>0</v>
      </c>
    </row>
    <row r="49" customFormat="false" ht="15" hidden="false" customHeight="false" outlineLevel="0" collapsed="false">
      <c r="A49" s="12" t="n">
        <v>45621</v>
      </c>
      <c r="B49" s="5" t="s">
        <v>41</v>
      </c>
      <c r="C49" s="5" t="s">
        <v>42</v>
      </c>
      <c r="D49" s="13" t="n">
        <v>700900</v>
      </c>
      <c r="E49" s="13" t="n">
        <v>684500</v>
      </c>
      <c r="F49" s="5" t="n">
        <v>70</v>
      </c>
      <c r="G49" s="5" t="n">
        <v>0</v>
      </c>
      <c r="H49" s="5" t="n">
        <v>0</v>
      </c>
      <c r="I49" s="5" t="n">
        <v>0</v>
      </c>
      <c r="J49" s="14" t="n">
        <v>15.4</v>
      </c>
      <c r="K49" s="5" t="n">
        <v>0</v>
      </c>
    </row>
    <row r="50" customFormat="false" ht="15" hidden="false" customHeight="false" outlineLevel="0" collapsed="false">
      <c r="A50" s="12" t="n">
        <v>45628</v>
      </c>
      <c r="B50" s="5" t="s">
        <v>41</v>
      </c>
      <c r="C50" s="5" t="s">
        <v>42</v>
      </c>
      <c r="D50" s="13" t="n">
        <v>711800</v>
      </c>
      <c r="E50" s="13" t="n">
        <v>760800</v>
      </c>
      <c r="F50" s="5" t="n">
        <v>72</v>
      </c>
      <c r="G50" s="5" t="n">
        <v>0</v>
      </c>
      <c r="H50" s="5" t="n">
        <v>0</v>
      </c>
      <c r="I50" s="5" t="n">
        <v>0</v>
      </c>
      <c r="J50" s="14" t="n">
        <v>18</v>
      </c>
      <c r="K50" s="5" t="n">
        <v>0</v>
      </c>
    </row>
    <row r="51" customFormat="false" ht="15" hidden="false" customHeight="false" outlineLevel="0" collapsed="false">
      <c r="A51" s="12" t="n">
        <v>45635</v>
      </c>
      <c r="B51" s="5" t="s">
        <v>41</v>
      </c>
      <c r="C51" s="5" t="s">
        <v>42</v>
      </c>
      <c r="D51" s="13" t="n">
        <v>465500</v>
      </c>
      <c r="E51" s="13" t="n">
        <v>780800</v>
      </c>
      <c r="F51" s="5" t="n">
        <v>70</v>
      </c>
      <c r="G51" s="5" t="n">
        <v>0</v>
      </c>
      <c r="H51" s="5" t="n">
        <v>0</v>
      </c>
      <c r="I51" s="5" t="n">
        <v>0</v>
      </c>
      <c r="J51" s="14" t="n">
        <v>15.8</v>
      </c>
      <c r="K51" s="5" t="n">
        <v>1</v>
      </c>
      <c r="L51" s="5" t="s">
        <v>44</v>
      </c>
    </row>
    <row r="52" customFormat="false" ht="15" hidden="false" customHeight="false" outlineLevel="0" collapsed="false">
      <c r="A52" s="12" t="n">
        <v>45642</v>
      </c>
      <c r="B52" s="5" t="s">
        <v>41</v>
      </c>
      <c r="C52" s="5" t="s">
        <v>42</v>
      </c>
      <c r="D52" s="13" t="n">
        <v>432900</v>
      </c>
      <c r="E52" s="13" t="n">
        <v>627400</v>
      </c>
      <c r="F52" s="5" t="n">
        <v>70</v>
      </c>
      <c r="G52" s="5" t="n">
        <v>0</v>
      </c>
      <c r="H52" s="5" t="n">
        <v>0</v>
      </c>
      <c r="I52" s="5" t="n">
        <v>0</v>
      </c>
      <c r="J52" s="14" t="n">
        <v>18.7</v>
      </c>
      <c r="K52" s="5" t="n">
        <v>1</v>
      </c>
      <c r="L52" s="5" t="s">
        <v>44</v>
      </c>
    </row>
    <row r="53" customFormat="false" ht="15" hidden="false" customHeight="false" outlineLevel="0" collapsed="false">
      <c r="A53" s="12" t="n">
        <v>45649</v>
      </c>
      <c r="B53" s="5" t="s">
        <v>41</v>
      </c>
      <c r="C53" s="5" t="s">
        <v>42</v>
      </c>
      <c r="D53" s="13" t="n">
        <v>772700</v>
      </c>
      <c r="E53" s="13" t="n">
        <v>650200</v>
      </c>
      <c r="F53" s="5" t="n">
        <v>70</v>
      </c>
      <c r="G53" s="5" t="n">
        <v>1</v>
      </c>
      <c r="H53" s="5" t="n">
        <v>8</v>
      </c>
      <c r="I53" s="5" t="n">
        <v>0</v>
      </c>
      <c r="J53" s="14" t="n">
        <v>17</v>
      </c>
      <c r="K53" s="5" t="n">
        <v>0</v>
      </c>
    </row>
    <row r="54" customFormat="false" ht="15" hidden="false" customHeight="false" outlineLevel="0" collapsed="false">
      <c r="A54" s="12" t="n">
        <v>45656</v>
      </c>
      <c r="B54" s="5" t="s">
        <v>41</v>
      </c>
      <c r="C54" s="5" t="s">
        <v>42</v>
      </c>
      <c r="D54" s="13" t="n">
        <v>663600</v>
      </c>
      <c r="E54" s="13" t="n">
        <v>549800</v>
      </c>
      <c r="F54" s="5" t="n">
        <v>77</v>
      </c>
      <c r="G54" s="5" t="n">
        <v>0</v>
      </c>
      <c r="H54" s="5" t="n">
        <v>0</v>
      </c>
      <c r="I54" s="5" t="n">
        <v>0</v>
      </c>
      <c r="J54" s="14" t="n">
        <v>18</v>
      </c>
      <c r="K54" s="5" t="n">
        <v>0</v>
      </c>
    </row>
    <row r="55" customFormat="false" ht="15" hidden="false" customHeight="false" outlineLevel="0" collapsed="false">
      <c r="A55" s="12" t="n">
        <v>45663</v>
      </c>
      <c r="B55" s="5" t="s">
        <v>41</v>
      </c>
      <c r="C55" s="5" t="s">
        <v>42</v>
      </c>
      <c r="D55" s="13" t="n">
        <v>684500</v>
      </c>
      <c r="E55" s="13" t="n">
        <v>604700</v>
      </c>
      <c r="F55" s="5" t="n">
        <v>75</v>
      </c>
      <c r="G55" s="5" t="n">
        <v>0</v>
      </c>
      <c r="H55" s="5" t="n">
        <v>0</v>
      </c>
      <c r="I55" s="5" t="n">
        <v>0</v>
      </c>
      <c r="J55" s="14" t="n">
        <v>18</v>
      </c>
      <c r="K55" s="5" t="n">
        <v>0</v>
      </c>
    </row>
    <row r="56" customFormat="false" ht="15" hidden="false" customHeight="false" outlineLevel="0" collapsed="false">
      <c r="A56" s="12" t="n">
        <v>45670</v>
      </c>
      <c r="B56" s="5" t="s">
        <v>41</v>
      </c>
      <c r="C56" s="5" t="s">
        <v>42</v>
      </c>
      <c r="D56" s="13" t="n">
        <v>748600</v>
      </c>
      <c r="E56" s="13" t="n">
        <v>642600</v>
      </c>
      <c r="F56" s="5" t="n">
        <v>78</v>
      </c>
      <c r="G56" s="5" t="n">
        <v>0</v>
      </c>
      <c r="H56" s="5" t="n">
        <v>0</v>
      </c>
      <c r="I56" s="5" t="n">
        <v>0</v>
      </c>
      <c r="J56" s="14" t="n">
        <v>19.5</v>
      </c>
      <c r="K56" s="5" t="n">
        <v>0</v>
      </c>
    </row>
    <row r="57" customFormat="false" ht="15" hidden="false" customHeight="false" outlineLevel="0" collapsed="false">
      <c r="A57" s="12" t="n">
        <v>45677</v>
      </c>
      <c r="B57" s="5" t="s">
        <v>41</v>
      </c>
      <c r="C57" s="5" t="s">
        <v>42</v>
      </c>
      <c r="D57" s="13" t="n">
        <v>965600</v>
      </c>
      <c r="E57" s="13" t="n">
        <v>925800</v>
      </c>
      <c r="F57" s="5" t="n">
        <v>76</v>
      </c>
      <c r="G57" s="5" t="n">
        <v>1</v>
      </c>
      <c r="H57" s="5" t="n">
        <v>10</v>
      </c>
      <c r="I57" s="5" t="n">
        <v>0</v>
      </c>
      <c r="J57" s="14" t="n">
        <v>18.3</v>
      </c>
      <c r="K57" s="5" t="n">
        <v>0</v>
      </c>
    </row>
    <row r="58" customFormat="false" ht="15" hidden="false" customHeight="false" outlineLevel="0" collapsed="false">
      <c r="A58" s="12" t="n">
        <v>45684</v>
      </c>
      <c r="B58" s="5" t="s">
        <v>41</v>
      </c>
      <c r="C58" s="5" t="s">
        <v>42</v>
      </c>
      <c r="D58" s="13" t="n">
        <v>998300</v>
      </c>
      <c r="E58" s="13" t="n">
        <v>1022700</v>
      </c>
      <c r="F58" s="5" t="n">
        <v>76</v>
      </c>
      <c r="G58" s="5" t="n">
        <v>1</v>
      </c>
      <c r="H58" s="5" t="n">
        <v>20</v>
      </c>
      <c r="I58" s="5" t="n">
        <v>0</v>
      </c>
      <c r="J58" s="14" t="n">
        <v>19.4</v>
      </c>
      <c r="K58" s="5" t="n">
        <v>0</v>
      </c>
    </row>
    <row r="59" customFormat="false" ht="15" hidden="false" customHeight="false" outlineLevel="0" collapsed="false">
      <c r="A59" s="12" t="n">
        <v>45691</v>
      </c>
      <c r="B59" s="5" t="s">
        <v>41</v>
      </c>
      <c r="C59" s="5" t="s">
        <v>42</v>
      </c>
      <c r="D59" s="13" t="n">
        <v>691400</v>
      </c>
      <c r="E59" s="13" t="n">
        <v>887100</v>
      </c>
      <c r="F59" s="5" t="n">
        <v>78</v>
      </c>
      <c r="G59" s="5" t="n">
        <v>0</v>
      </c>
      <c r="H59" s="5" t="n">
        <v>0</v>
      </c>
      <c r="I59" s="5" t="n">
        <v>0</v>
      </c>
      <c r="J59" s="14" t="n">
        <v>21.6</v>
      </c>
      <c r="K59" s="5" t="n">
        <v>0</v>
      </c>
    </row>
    <row r="60" customFormat="false" ht="15" hidden="false" customHeight="false" outlineLevel="0" collapsed="false">
      <c r="A60" s="12" t="n">
        <v>45698</v>
      </c>
      <c r="B60" s="5" t="s">
        <v>41</v>
      </c>
      <c r="C60" s="5" t="s">
        <v>42</v>
      </c>
      <c r="D60" s="13" t="n">
        <v>706000</v>
      </c>
      <c r="E60" s="13" t="n">
        <v>892600</v>
      </c>
      <c r="F60" s="5" t="n">
        <v>74</v>
      </c>
      <c r="G60" s="5" t="n">
        <v>0</v>
      </c>
      <c r="H60" s="5" t="n">
        <v>0</v>
      </c>
      <c r="I60" s="5" t="n">
        <v>0</v>
      </c>
      <c r="J60" s="14" t="n">
        <v>20.3</v>
      </c>
      <c r="K60" s="5" t="n">
        <v>0</v>
      </c>
    </row>
    <row r="61" customFormat="false" ht="15" hidden="false" customHeight="false" outlineLevel="0" collapsed="false">
      <c r="A61" s="12" t="n">
        <v>45705</v>
      </c>
      <c r="B61" s="5" t="s">
        <v>41</v>
      </c>
      <c r="C61" s="5" t="s">
        <v>42</v>
      </c>
      <c r="D61" s="13" t="n">
        <v>802200</v>
      </c>
      <c r="E61" s="13" t="n">
        <v>962000</v>
      </c>
      <c r="F61" s="5" t="n">
        <v>78</v>
      </c>
      <c r="G61" s="5" t="n">
        <v>0</v>
      </c>
      <c r="H61" s="5" t="n">
        <v>0</v>
      </c>
      <c r="I61" s="5" t="n">
        <v>1</v>
      </c>
      <c r="J61" s="14" t="n">
        <v>23.5</v>
      </c>
      <c r="K61" s="5" t="n">
        <v>0</v>
      </c>
    </row>
    <row r="62" customFormat="false" ht="15" hidden="false" customHeight="false" outlineLevel="0" collapsed="false">
      <c r="A62" s="12" t="n">
        <v>45712</v>
      </c>
      <c r="B62" s="5" t="s">
        <v>41</v>
      </c>
      <c r="C62" s="5" t="s">
        <v>42</v>
      </c>
      <c r="D62" s="13" t="n">
        <v>849400</v>
      </c>
      <c r="E62" s="13" t="n">
        <v>937400</v>
      </c>
      <c r="F62" s="5" t="n">
        <v>75</v>
      </c>
      <c r="G62" s="5" t="n">
        <v>0</v>
      </c>
      <c r="H62" s="5" t="n">
        <v>0</v>
      </c>
      <c r="I62" s="5" t="n">
        <v>1</v>
      </c>
      <c r="J62" s="14" t="n">
        <v>23.9</v>
      </c>
      <c r="K62" s="5" t="n">
        <v>0</v>
      </c>
    </row>
    <row r="63" customFormat="false" ht="15" hidden="false" customHeight="false" outlineLevel="0" collapsed="false">
      <c r="A63" s="12" t="n">
        <v>45719</v>
      </c>
      <c r="B63" s="5" t="s">
        <v>41</v>
      </c>
      <c r="C63" s="5" t="s">
        <v>42</v>
      </c>
      <c r="D63" s="13" t="n">
        <v>624800</v>
      </c>
      <c r="E63" s="13" t="n">
        <v>786200</v>
      </c>
      <c r="F63" s="5" t="n">
        <v>77</v>
      </c>
      <c r="G63" s="5" t="n">
        <v>0</v>
      </c>
      <c r="H63" s="5" t="n">
        <v>0</v>
      </c>
      <c r="I63" s="5" t="n">
        <v>0</v>
      </c>
      <c r="J63" s="14" t="n">
        <v>23.8</v>
      </c>
      <c r="K63" s="5" t="n">
        <v>1</v>
      </c>
    </row>
    <row r="64" customFormat="false" ht="15" hidden="false" customHeight="false" outlineLevel="0" collapsed="false">
      <c r="A64" s="12" t="n">
        <v>45726</v>
      </c>
      <c r="B64" s="5" t="s">
        <v>41</v>
      </c>
      <c r="C64" s="5" t="s">
        <v>42</v>
      </c>
      <c r="D64" s="13" t="n">
        <v>759000</v>
      </c>
      <c r="E64" s="13" t="n">
        <v>769800</v>
      </c>
      <c r="F64" s="5" t="n">
        <v>78</v>
      </c>
      <c r="G64" s="5" t="n">
        <v>0</v>
      </c>
      <c r="H64" s="5" t="n">
        <v>0</v>
      </c>
      <c r="I64" s="5" t="n">
        <v>0</v>
      </c>
      <c r="J64" s="14" t="n">
        <v>23.5</v>
      </c>
      <c r="K64" s="5" t="n">
        <v>0</v>
      </c>
    </row>
    <row r="65" customFormat="false" ht="15" hidden="false" customHeight="false" outlineLevel="0" collapsed="false">
      <c r="A65" s="12" t="n">
        <v>45733</v>
      </c>
      <c r="B65" s="5" t="s">
        <v>41</v>
      </c>
      <c r="C65" s="5" t="s">
        <v>42</v>
      </c>
      <c r="D65" s="13" t="n">
        <v>812900</v>
      </c>
      <c r="E65" s="13" t="n">
        <v>777800</v>
      </c>
      <c r="F65" s="5" t="n">
        <v>75</v>
      </c>
      <c r="G65" s="5" t="n">
        <v>0</v>
      </c>
      <c r="H65" s="5" t="n">
        <v>0</v>
      </c>
      <c r="I65" s="5" t="n">
        <v>0</v>
      </c>
      <c r="J65" s="14" t="n">
        <v>25.4</v>
      </c>
      <c r="K65" s="5" t="n">
        <v>0</v>
      </c>
    </row>
    <row r="66" customFormat="false" ht="15" hidden="false" customHeight="false" outlineLevel="0" collapsed="false">
      <c r="A66" s="12" t="n">
        <v>45740</v>
      </c>
      <c r="B66" s="5" t="s">
        <v>41</v>
      </c>
      <c r="C66" s="5" t="s">
        <v>42</v>
      </c>
      <c r="D66" s="13" t="n">
        <v>783900</v>
      </c>
      <c r="E66" s="13" t="n">
        <v>826300</v>
      </c>
      <c r="F66" s="5" t="n">
        <v>77</v>
      </c>
      <c r="G66" s="5" t="n">
        <v>0</v>
      </c>
      <c r="H66" s="5" t="n">
        <v>0</v>
      </c>
      <c r="I66" s="5" t="n">
        <v>0</v>
      </c>
      <c r="J66" s="14" t="n">
        <v>26.1</v>
      </c>
      <c r="K66" s="5" t="n">
        <v>0</v>
      </c>
    </row>
    <row r="67" customFormat="false" ht="15" hidden="false" customHeight="false" outlineLevel="0" collapsed="false">
      <c r="A67" s="12" t="n">
        <v>45747</v>
      </c>
      <c r="B67" s="5" t="s">
        <v>41</v>
      </c>
      <c r="C67" s="5" t="s">
        <v>42</v>
      </c>
      <c r="D67" s="13" t="n">
        <v>1108600</v>
      </c>
      <c r="E67" s="13" t="n">
        <v>904100</v>
      </c>
      <c r="F67" s="5" t="n">
        <v>77</v>
      </c>
      <c r="G67" s="5" t="n">
        <v>1</v>
      </c>
      <c r="H67" s="5" t="n">
        <v>12</v>
      </c>
      <c r="I67" s="5" t="n">
        <v>1</v>
      </c>
      <c r="J67" s="14" t="n">
        <v>27.3</v>
      </c>
      <c r="K67" s="5" t="n">
        <v>0</v>
      </c>
    </row>
    <row r="68" customFormat="false" ht="15" hidden="false" customHeight="false" outlineLevel="0" collapsed="false">
      <c r="A68" s="12" t="n">
        <v>45754</v>
      </c>
      <c r="B68" s="5" t="s">
        <v>41</v>
      </c>
      <c r="C68" s="5" t="s">
        <v>42</v>
      </c>
      <c r="D68" s="13" t="n">
        <v>744200</v>
      </c>
      <c r="E68" s="13" t="n">
        <v>850800</v>
      </c>
      <c r="F68" s="5" t="n">
        <v>77</v>
      </c>
      <c r="G68" s="5" t="n">
        <v>0</v>
      </c>
      <c r="H68" s="5" t="n">
        <v>0</v>
      </c>
      <c r="I68" s="5" t="n">
        <v>0</v>
      </c>
      <c r="J68" s="14" t="n">
        <v>27.7</v>
      </c>
      <c r="K68" s="5" t="n">
        <v>0</v>
      </c>
    </row>
    <row r="69" customFormat="false" ht="15" hidden="false" customHeight="false" outlineLevel="0" collapsed="false">
      <c r="A69" s="12" t="n">
        <v>45761</v>
      </c>
      <c r="B69" s="5" t="s">
        <v>41</v>
      </c>
      <c r="C69" s="5" t="s">
        <v>42</v>
      </c>
      <c r="D69" s="13" t="n">
        <v>1088800</v>
      </c>
      <c r="E69" s="13" t="n">
        <v>1119700</v>
      </c>
      <c r="F69" s="5" t="n">
        <v>76</v>
      </c>
      <c r="G69" s="5" t="n">
        <v>1</v>
      </c>
      <c r="H69" s="5" t="n">
        <v>18</v>
      </c>
      <c r="I69" s="5" t="n">
        <v>0</v>
      </c>
      <c r="J69" s="14" t="n">
        <v>29.9</v>
      </c>
      <c r="K69" s="5" t="n">
        <v>0</v>
      </c>
    </row>
    <row r="70" customFormat="false" ht="15" hidden="false" customHeight="false" outlineLevel="0" collapsed="false">
      <c r="A70" s="12" t="n">
        <v>45768</v>
      </c>
      <c r="B70" s="5" t="s">
        <v>41</v>
      </c>
      <c r="C70" s="5" t="s">
        <v>42</v>
      </c>
      <c r="D70" s="13" t="n">
        <v>888700</v>
      </c>
      <c r="E70" s="13" t="n">
        <v>898300</v>
      </c>
      <c r="F70" s="5" t="n">
        <v>74</v>
      </c>
      <c r="G70" s="5" t="n">
        <v>0</v>
      </c>
      <c r="H70" s="5" t="n">
        <v>0</v>
      </c>
      <c r="I70" s="5" t="n">
        <v>0</v>
      </c>
      <c r="J70" s="14" t="n">
        <v>31</v>
      </c>
      <c r="K70" s="5" t="n">
        <v>0</v>
      </c>
    </row>
    <row r="71" customFormat="false" ht="15" hidden="false" customHeight="false" outlineLevel="0" collapsed="false">
      <c r="A71" s="12" t="n">
        <v>45775</v>
      </c>
      <c r="B71" s="5" t="s">
        <v>41</v>
      </c>
      <c r="C71" s="5" t="s">
        <v>42</v>
      </c>
      <c r="D71" s="13" t="n">
        <v>827000</v>
      </c>
      <c r="E71" s="13" t="n">
        <v>925200</v>
      </c>
      <c r="F71" s="5" t="n">
        <v>77</v>
      </c>
      <c r="G71" s="5" t="n">
        <v>0</v>
      </c>
      <c r="H71" s="5" t="n">
        <v>0</v>
      </c>
      <c r="I71" s="5" t="n">
        <v>0</v>
      </c>
      <c r="J71" s="14" t="n">
        <v>29.3</v>
      </c>
      <c r="K71" s="5" t="n">
        <v>0</v>
      </c>
    </row>
    <row r="72" customFormat="false" ht="15" hidden="false" customHeight="false" outlineLevel="0" collapsed="false">
      <c r="A72" s="12" t="n">
        <v>45782</v>
      </c>
      <c r="B72" s="5" t="s">
        <v>41</v>
      </c>
      <c r="C72" s="5" t="s">
        <v>42</v>
      </c>
      <c r="D72" s="13" t="n">
        <v>1136600</v>
      </c>
      <c r="E72" s="13" t="n">
        <v>896200</v>
      </c>
      <c r="F72" s="5" t="n">
        <v>74</v>
      </c>
      <c r="G72" s="5" t="n">
        <v>0</v>
      </c>
      <c r="H72" s="5" t="n">
        <v>0</v>
      </c>
      <c r="I72" s="5" t="n">
        <v>0</v>
      </c>
      <c r="J72" s="14" t="n">
        <v>37.8</v>
      </c>
      <c r="K72" s="5" t="n">
        <v>0</v>
      </c>
      <c r="L72" s="5" t="s">
        <v>45</v>
      </c>
    </row>
    <row r="73" customFormat="false" ht="15" hidden="false" customHeight="false" outlineLevel="0" collapsed="false">
      <c r="A73" s="12" t="n">
        <v>45789</v>
      </c>
      <c r="B73" s="5" t="s">
        <v>41</v>
      </c>
      <c r="C73" s="5" t="s">
        <v>42</v>
      </c>
      <c r="D73" s="13" t="n">
        <v>955000</v>
      </c>
      <c r="E73" s="13" t="n">
        <v>1043200</v>
      </c>
      <c r="F73" s="5" t="n">
        <v>75</v>
      </c>
      <c r="G73" s="5" t="n">
        <v>0</v>
      </c>
      <c r="H73" s="5" t="n">
        <v>0</v>
      </c>
      <c r="I73" s="5" t="n">
        <v>0</v>
      </c>
      <c r="J73" s="14" t="n">
        <v>33.9</v>
      </c>
      <c r="K73" s="5" t="n">
        <v>0</v>
      </c>
      <c r="L73" s="5" t="s">
        <v>45</v>
      </c>
    </row>
    <row r="74" customFormat="false" ht="15" hidden="false" customHeight="false" outlineLevel="0" collapsed="false">
      <c r="A74" s="12" t="n">
        <v>45796</v>
      </c>
      <c r="B74" s="5" t="s">
        <v>41</v>
      </c>
      <c r="C74" s="5" t="s">
        <v>42</v>
      </c>
      <c r="D74" s="13" t="n">
        <v>885200</v>
      </c>
      <c r="E74" s="13" t="n">
        <v>970400</v>
      </c>
      <c r="F74" s="5" t="n">
        <v>75</v>
      </c>
      <c r="G74" s="5" t="n">
        <v>0</v>
      </c>
      <c r="H74" s="5" t="n">
        <v>0</v>
      </c>
      <c r="I74" s="5" t="n">
        <v>0</v>
      </c>
      <c r="J74" s="14" t="n">
        <v>30.5</v>
      </c>
      <c r="K74" s="5" t="n">
        <v>0</v>
      </c>
    </row>
    <row r="75" customFormat="false" ht="15" hidden="false" customHeight="false" outlineLevel="0" collapsed="false">
      <c r="A75" s="12" t="n">
        <v>45803</v>
      </c>
      <c r="B75" s="5" t="s">
        <v>41</v>
      </c>
      <c r="C75" s="5" t="s">
        <v>42</v>
      </c>
      <c r="D75" s="13" t="n">
        <v>858100</v>
      </c>
      <c r="E75" s="13" t="n">
        <v>1002600</v>
      </c>
      <c r="F75" s="5" t="n">
        <v>75</v>
      </c>
      <c r="G75" s="5" t="n">
        <v>0</v>
      </c>
      <c r="H75" s="5" t="n">
        <v>0</v>
      </c>
      <c r="I75" s="5" t="n">
        <v>0</v>
      </c>
      <c r="J75" s="14" t="n">
        <v>31.7</v>
      </c>
      <c r="K75" s="5" t="n">
        <v>0</v>
      </c>
    </row>
    <row r="76" customFormat="false" ht="15" hidden="false" customHeight="false" outlineLevel="0" collapsed="false">
      <c r="A76" s="12" t="n">
        <v>45810</v>
      </c>
      <c r="B76" s="5" t="s">
        <v>41</v>
      </c>
      <c r="C76" s="5" t="s">
        <v>42</v>
      </c>
      <c r="D76" s="13" t="n">
        <v>1005700</v>
      </c>
      <c r="E76" s="13" t="n">
        <v>1035900</v>
      </c>
      <c r="F76" s="5" t="n">
        <v>77</v>
      </c>
      <c r="G76" s="5" t="n">
        <v>0</v>
      </c>
      <c r="H76" s="5" t="n">
        <v>0</v>
      </c>
      <c r="I76" s="5" t="n">
        <v>1</v>
      </c>
      <c r="J76" s="14" t="n">
        <v>33.9</v>
      </c>
      <c r="K76" s="5" t="n">
        <v>0</v>
      </c>
    </row>
    <row r="77" customFormat="false" ht="15" hidden="false" customHeight="false" outlineLevel="0" collapsed="false">
      <c r="A77" s="12" t="n">
        <v>45817</v>
      </c>
      <c r="B77" s="5" t="s">
        <v>41</v>
      </c>
      <c r="C77" s="5" t="s">
        <v>42</v>
      </c>
      <c r="D77" s="13" t="n">
        <v>833000</v>
      </c>
      <c r="E77" s="13" t="n">
        <v>871700</v>
      </c>
      <c r="F77" s="5" t="n">
        <v>78</v>
      </c>
      <c r="G77" s="5" t="n">
        <v>0</v>
      </c>
      <c r="H77" s="5" t="n">
        <v>0</v>
      </c>
      <c r="I77" s="5" t="n">
        <v>0</v>
      </c>
      <c r="J77" s="14" t="n">
        <v>31.1</v>
      </c>
      <c r="K77" s="5" t="n">
        <v>0</v>
      </c>
    </row>
    <row r="78" customFormat="false" ht="15" hidden="false" customHeight="false" outlineLevel="0" collapsed="false">
      <c r="A78" s="12" t="n">
        <v>45824</v>
      </c>
      <c r="B78" s="5" t="s">
        <v>41</v>
      </c>
      <c r="C78" s="5" t="s">
        <v>42</v>
      </c>
      <c r="D78" s="13" t="n">
        <v>1274500</v>
      </c>
      <c r="E78" s="13" t="n">
        <v>1108700</v>
      </c>
      <c r="F78" s="5" t="n">
        <v>74</v>
      </c>
      <c r="G78" s="5" t="n">
        <v>1</v>
      </c>
      <c r="H78" s="5" t="n">
        <v>15</v>
      </c>
      <c r="I78" s="5" t="n">
        <v>0</v>
      </c>
      <c r="J78" s="14" t="n">
        <v>33.7</v>
      </c>
      <c r="K78" s="5" t="n">
        <v>0</v>
      </c>
    </row>
    <row r="79" customFormat="false" ht="15" hidden="false" customHeight="false" outlineLevel="0" collapsed="false">
      <c r="A79" s="12" t="n">
        <v>45831</v>
      </c>
      <c r="B79" s="5" t="s">
        <v>41</v>
      </c>
      <c r="C79" s="5" t="s">
        <v>42</v>
      </c>
      <c r="D79" s="13" t="n">
        <v>864300</v>
      </c>
      <c r="E79" s="13" t="n">
        <v>1048300</v>
      </c>
      <c r="F79" s="5" t="n">
        <v>78</v>
      </c>
      <c r="G79" s="5" t="n">
        <v>0</v>
      </c>
      <c r="H79" s="5" t="n">
        <v>0</v>
      </c>
      <c r="I79" s="5" t="n">
        <v>0</v>
      </c>
      <c r="J79" s="14" t="n">
        <v>31.1</v>
      </c>
      <c r="K79" s="5" t="n">
        <v>0</v>
      </c>
    </row>
    <row r="80" customFormat="false" ht="15" hidden="false" customHeight="false" outlineLevel="0" collapsed="false">
      <c r="A80" s="12" t="n">
        <v>45838</v>
      </c>
      <c r="B80" s="5" t="s">
        <v>41</v>
      </c>
      <c r="C80" s="5" t="s">
        <v>42</v>
      </c>
      <c r="D80" s="13" t="n">
        <v>786800</v>
      </c>
      <c r="E80" s="13" t="n">
        <v>925600</v>
      </c>
      <c r="F80" s="5" t="n">
        <v>82</v>
      </c>
      <c r="G80" s="5" t="n">
        <v>0</v>
      </c>
      <c r="H80" s="5" t="n">
        <v>0</v>
      </c>
      <c r="I80" s="5" t="n">
        <v>0</v>
      </c>
      <c r="J80" s="14" t="n">
        <v>32.8</v>
      </c>
      <c r="K80" s="5" t="n">
        <v>1</v>
      </c>
    </row>
    <row r="81" customFormat="false" ht="15" hidden="false" customHeight="false" outlineLevel="0" collapsed="false">
      <c r="A81" s="12" t="n">
        <v>45845</v>
      </c>
      <c r="B81" s="5" t="s">
        <v>41</v>
      </c>
      <c r="C81" s="5" t="s">
        <v>42</v>
      </c>
      <c r="D81" s="13" t="n">
        <v>859000</v>
      </c>
      <c r="E81" s="13" t="n">
        <v>925400</v>
      </c>
      <c r="F81" s="5" t="n">
        <v>82</v>
      </c>
      <c r="G81" s="5" t="n">
        <v>0</v>
      </c>
      <c r="H81" s="5" t="n">
        <v>0</v>
      </c>
      <c r="I81" s="5" t="n">
        <v>0</v>
      </c>
      <c r="J81" s="14" t="n">
        <v>29.6</v>
      </c>
      <c r="K81" s="5" t="n">
        <v>0</v>
      </c>
    </row>
    <row r="82" customFormat="false" ht="15" hidden="false" customHeight="false" outlineLevel="0" collapsed="false">
      <c r="A82" s="12" t="n">
        <v>45852</v>
      </c>
      <c r="B82" s="5" t="s">
        <v>41</v>
      </c>
      <c r="C82" s="5" t="s">
        <v>42</v>
      </c>
      <c r="D82" s="13" t="n">
        <v>916100</v>
      </c>
      <c r="E82" s="13" t="n">
        <v>942700</v>
      </c>
      <c r="F82" s="5" t="n">
        <v>81</v>
      </c>
      <c r="G82" s="5" t="n">
        <v>0</v>
      </c>
      <c r="H82" s="5" t="n">
        <v>0</v>
      </c>
      <c r="I82" s="5" t="n">
        <v>0</v>
      </c>
      <c r="J82" s="14" t="n">
        <v>32.7</v>
      </c>
      <c r="K82" s="5" t="n">
        <v>0</v>
      </c>
    </row>
    <row r="83" customFormat="false" ht="15" hidden="false" customHeight="false" outlineLevel="0" collapsed="false">
      <c r="A83" s="12" t="n">
        <v>45859</v>
      </c>
      <c r="B83" s="5" t="s">
        <v>41</v>
      </c>
      <c r="C83" s="5" t="s">
        <v>42</v>
      </c>
      <c r="D83" s="13" t="n">
        <v>848400</v>
      </c>
      <c r="E83" s="13" t="n">
        <v>892400</v>
      </c>
      <c r="F83" s="5" t="n">
        <v>78</v>
      </c>
      <c r="G83" s="5" t="n">
        <v>0</v>
      </c>
      <c r="H83" s="5" t="n">
        <v>0</v>
      </c>
      <c r="I83" s="5" t="n">
        <v>0</v>
      </c>
      <c r="J83" s="14" t="n">
        <v>31.7</v>
      </c>
      <c r="K83" s="5" t="n">
        <v>0</v>
      </c>
    </row>
    <row r="84" customFormat="false" ht="15" hidden="false" customHeight="false" outlineLevel="0" collapsed="false">
      <c r="A84" s="12" t="n">
        <v>45866</v>
      </c>
      <c r="B84" s="5" t="s">
        <v>41</v>
      </c>
      <c r="C84" s="5" t="s">
        <v>42</v>
      </c>
      <c r="D84" s="13" t="n">
        <v>862100</v>
      </c>
      <c r="E84" s="13" t="n">
        <v>863700</v>
      </c>
      <c r="F84" s="5" t="n">
        <v>78</v>
      </c>
      <c r="G84" s="5" t="n">
        <v>0</v>
      </c>
      <c r="H84" s="5" t="n">
        <v>0</v>
      </c>
      <c r="I84" s="5" t="n">
        <v>0</v>
      </c>
      <c r="J84" s="14" t="n">
        <v>32.3</v>
      </c>
      <c r="K84" s="5" t="n">
        <v>0</v>
      </c>
    </row>
    <row r="85" customFormat="false" ht="15" hidden="false" customHeight="false" outlineLevel="0" collapsed="false">
      <c r="A85" s="12" t="n">
        <v>45873</v>
      </c>
      <c r="B85" s="5" t="s">
        <v>41</v>
      </c>
      <c r="C85" s="5" t="s">
        <v>42</v>
      </c>
      <c r="D85" s="13" t="n">
        <v>967400</v>
      </c>
      <c r="E85" s="13" t="n">
        <v>925900</v>
      </c>
      <c r="F85" s="5" t="n">
        <v>79</v>
      </c>
      <c r="G85" s="5" t="n">
        <v>0</v>
      </c>
      <c r="H85" s="5" t="n">
        <v>0</v>
      </c>
      <c r="I85" s="5" t="n">
        <v>0</v>
      </c>
      <c r="J85" s="14" t="n">
        <v>28.3</v>
      </c>
      <c r="K85" s="5" t="n">
        <v>0</v>
      </c>
      <c r="L85" s="5" t="s">
        <v>46</v>
      </c>
    </row>
    <row r="86" customFormat="false" ht="15" hidden="false" customHeight="false" outlineLevel="0" collapsed="false">
      <c r="A86" s="12" t="n">
        <v>45880</v>
      </c>
      <c r="B86" s="5" t="s">
        <v>41</v>
      </c>
      <c r="C86" s="5" t="s">
        <v>42</v>
      </c>
      <c r="D86" s="13" t="n">
        <v>848000</v>
      </c>
      <c r="E86" s="13" t="n">
        <v>891700</v>
      </c>
      <c r="F86" s="5" t="n">
        <v>79</v>
      </c>
      <c r="G86" s="5" t="n">
        <v>0</v>
      </c>
      <c r="H86" s="5" t="n">
        <v>0</v>
      </c>
      <c r="I86" s="5" t="n">
        <v>0</v>
      </c>
      <c r="J86" s="14" t="n">
        <v>30.8</v>
      </c>
      <c r="K86" s="5" t="n">
        <v>0</v>
      </c>
    </row>
    <row r="87" customFormat="false" ht="15" hidden="false" customHeight="false" outlineLevel="0" collapsed="false">
      <c r="A87" s="12" t="n">
        <v>45887</v>
      </c>
      <c r="B87" s="5" t="s">
        <v>41</v>
      </c>
      <c r="C87" s="5" t="s">
        <v>42</v>
      </c>
      <c r="D87" s="13" t="n">
        <v>988100</v>
      </c>
      <c r="E87" s="13" t="n">
        <v>1205300</v>
      </c>
      <c r="F87" s="5" t="n">
        <v>82</v>
      </c>
      <c r="G87" s="5" t="n">
        <v>1</v>
      </c>
      <c r="H87" s="5" t="n">
        <v>12</v>
      </c>
      <c r="I87" s="5" t="n">
        <v>0</v>
      </c>
      <c r="J87" s="14" t="n">
        <v>24.9</v>
      </c>
      <c r="K87" s="5" t="n">
        <v>0</v>
      </c>
    </row>
    <row r="88" customFormat="false" ht="15" hidden="false" customHeight="false" outlineLevel="0" collapsed="false">
      <c r="A88" s="12" t="n">
        <v>45894</v>
      </c>
      <c r="B88" s="5" t="s">
        <v>41</v>
      </c>
      <c r="C88" s="5" t="s">
        <v>42</v>
      </c>
      <c r="D88" s="13" t="n">
        <v>794800</v>
      </c>
      <c r="E88" s="13" t="n">
        <v>931100</v>
      </c>
      <c r="F88" s="5" t="n">
        <v>81</v>
      </c>
      <c r="G88" s="5" t="n">
        <v>0</v>
      </c>
      <c r="H88" s="5" t="n">
        <v>0</v>
      </c>
      <c r="I88" s="5" t="n">
        <v>0</v>
      </c>
      <c r="J88" s="14" t="n">
        <v>27.5</v>
      </c>
      <c r="K88" s="5" t="n">
        <v>0</v>
      </c>
    </row>
    <row r="89" customFormat="false" ht="15" hidden="false" customHeight="false" outlineLevel="0" collapsed="false">
      <c r="A89" s="12" t="n">
        <v>45901</v>
      </c>
      <c r="B89" s="5" t="s">
        <v>41</v>
      </c>
      <c r="C89" s="5" t="s">
        <v>42</v>
      </c>
      <c r="D89" s="13" t="n">
        <v>790800</v>
      </c>
      <c r="E89" s="13" t="n">
        <v>895100</v>
      </c>
      <c r="F89" s="5" t="n">
        <v>82</v>
      </c>
      <c r="G89" s="5" t="n">
        <v>0</v>
      </c>
      <c r="H89" s="5" t="n">
        <v>0</v>
      </c>
      <c r="I89" s="5" t="n">
        <v>0</v>
      </c>
      <c r="J89" s="14" t="n">
        <v>30.4</v>
      </c>
      <c r="K89" s="5" t="n">
        <v>0</v>
      </c>
    </row>
    <row r="90" customFormat="false" ht="15" hidden="false" customHeight="false" outlineLevel="0" collapsed="false">
      <c r="A90" s="12" t="n">
        <v>45908</v>
      </c>
      <c r="B90" s="5" t="s">
        <v>41</v>
      </c>
      <c r="C90" s="5" t="s">
        <v>42</v>
      </c>
      <c r="D90" s="13" t="n">
        <v>815700</v>
      </c>
      <c r="E90" s="13" t="n">
        <v>860300</v>
      </c>
      <c r="F90" s="5" t="n">
        <v>79</v>
      </c>
      <c r="G90" s="5" t="n">
        <v>0</v>
      </c>
      <c r="H90" s="5" t="n">
        <v>0</v>
      </c>
      <c r="I90" s="5" t="n">
        <v>0</v>
      </c>
      <c r="J90" s="14" t="n">
        <v>27.3</v>
      </c>
      <c r="K90" s="5" t="n">
        <v>0</v>
      </c>
    </row>
    <row r="91" customFormat="false" ht="15" hidden="false" customHeight="false" outlineLevel="0" collapsed="false">
      <c r="A91" s="12" t="n">
        <v>45915</v>
      </c>
      <c r="B91" s="5" t="s">
        <v>41</v>
      </c>
      <c r="C91" s="5" t="s">
        <v>42</v>
      </c>
      <c r="D91" s="13" t="n">
        <v>796400</v>
      </c>
      <c r="E91" s="13" t="n">
        <v>818100</v>
      </c>
      <c r="F91" s="5" t="n">
        <v>78</v>
      </c>
      <c r="G91" s="5" t="n">
        <v>0</v>
      </c>
      <c r="H91" s="5" t="n">
        <v>0</v>
      </c>
      <c r="I91" s="5" t="n">
        <v>0</v>
      </c>
      <c r="J91" s="14" t="n">
        <v>23</v>
      </c>
      <c r="K91" s="5" t="n">
        <v>0</v>
      </c>
    </row>
    <row r="92" customFormat="false" ht="15" hidden="false" customHeight="false" outlineLevel="0" collapsed="false">
      <c r="A92" s="12" t="n">
        <v>45922</v>
      </c>
      <c r="B92" s="5" t="s">
        <v>41</v>
      </c>
      <c r="C92" s="5" t="s">
        <v>42</v>
      </c>
      <c r="D92" s="13" t="n">
        <v>870200</v>
      </c>
      <c r="E92" s="13" t="n">
        <v>1071600</v>
      </c>
      <c r="F92" s="5" t="n">
        <v>78</v>
      </c>
      <c r="G92" s="5" t="n">
        <v>1</v>
      </c>
      <c r="H92" s="5" t="n">
        <v>18</v>
      </c>
      <c r="I92" s="5" t="n">
        <v>0</v>
      </c>
      <c r="J92" s="14" t="n">
        <v>25.2</v>
      </c>
      <c r="K92" s="5" t="n">
        <v>1</v>
      </c>
    </row>
    <row r="93" customFormat="false" ht="15" hidden="false" customHeight="false" outlineLevel="0" collapsed="false">
      <c r="A93" s="12" t="n">
        <v>45929</v>
      </c>
      <c r="B93" s="5" t="s">
        <v>41</v>
      </c>
      <c r="C93" s="5" t="s">
        <v>42</v>
      </c>
      <c r="D93" s="13" t="n">
        <v>758600</v>
      </c>
      <c r="E93" s="13" t="n">
        <v>886600</v>
      </c>
      <c r="F93" s="5" t="n">
        <v>81</v>
      </c>
      <c r="G93" s="5" t="n">
        <v>0</v>
      </c>
      <c r="H93" s="5" t="n">
        <v>0</v>
      </c>
      <c r="I93" s="5" t="n">
        <v>0</v>
      </c>
      <c r="J93" s="14" t="n">
        <v>22</v>
      </c>
      <c r="K93" s="5" t="n">
        <v>0</v>
      </c>
    </row>
    <row r="94" customFormat="false" ht="15" hidden="false" customHeight="false" outlineLevel="0" collapsed="false">
      <c r="A94" s="12" t="n">
        <v>45936</v>
      </c>
      <c r="B94" s="5" t="s">
        <v>41</v>
      </c>
      <c r="C94" s="5" t="s">
        <v>42</v>
      </c>
      <c r="D94" s="13" t="n">
        <v>821300</v>
      </c>
      <c r="E94" s="13" t="n">
        <v>934400</v>
      </c>
      <c r="F94" s="5" t="n">
        <v>81</v>
      </c>
      <c r="G94" s="5" t="n">
        <v>1</v>
      </c>
      <c r="H94" s="5" t="n">
        <v>12</v>
      </c>
      <c r="I94" s="5" t="n">
        <v>0</v>
      </c>
      <c r="J94" s="14" t="n">
        <v>19.7</v>
      </c>
      <c r="K94" s="5" t="n">
        <v>0</v>
      </c>
    </row>
    <row r="95" customFormat="false" ht="15" hidden="false" customHeight="false" outlineLevel="0" collapsed="false">
      <c r="A95" s="12" t="n">
        <v>45943</v>
      </c>
      <c r="B95" s="5" t="s">
        <v>41</v>
      </c>
      <c r="C95" s="5" t="s">
        <v>42</v>
      </c>
      <c r="D95" s="13" t="n">
        <v>840900</v>
      </c>
      <c r="E95" s="13" t="n">
        <v>939000</v>
      </c>
      <c r="F95" s="5" t="n">
        <v>80</v>
      </c>
      <c r="G95" s="5" t="n">
        <v>1</v>
      </c>
      <c r="H95" s="5" t="n">
        <v>10</v>
      </c>
      <c r="I95" s="5" t="n">
        <v>0</v>
      </c>
      <c r="J95" s="14" t="n">
        <v>19.9</v>
      </c>
      <c r="K95" s="5" t="n">
        <v>0</v>
      </c>
    </row>
    <row r="96" customFormat="false" ht="15" hidden="false" customHeight="false" outlineLevel="0" collapsed="false">
      <c r="A96" s="12" t="n">
        <v>45950</v>
      </c>
      <c r="B96" s="5" t="s">
        <v>41</v>
      </c>
      <c r="C96" s="5" t="s">
        <v>42</v>
      </c>
      <c r="D96" s="13" t="n">
        <v>952000</v>
      </c>
      <c r="E96" s="13" t="n">
        <v>1171700</v>
      </c>
      <c r="F96" s="5" t="n">
        <v>78</v>
      </c>
      <c r="G96" s="5" t="n">
        <v>1</v>
      </c>
      <c r="H96" s="5" t="n">
        <v>18</v>
      </c>
      <c r="I96" s="5" t="n">
        <v>0</v>
      </c>
      <c r="J96" s="14" t="n">
        <v>20.7</v>
      </c>
      <c r="K96" s="5" t="n">
        <v>0</v>
      </c>
    </row>
    <row r="97" customFormat="false" ht="15" hidden="false" customHeight="false" outlineLevel="0" collapsed="false">
      <c r="A97" s="12" t="n">
        <v>45957</v>
      </c>
      <c r="B97" s="5" t="s">
        <v>41</v>
      </c>
      <c r="C97" s="5" t="s">
        <v>42</v>
      </c>
      <c r="D97" s="13" t="n">
        <v>688800</v>
      </c>
      <c r="E97" s="13" t="n">
        <v>873300</v>
      </c>
      <c r="F97" s="5" t="n">
        <v>79</v>
      </c>
      <c r="G97" s="5" t="n">
        <v>0</v>
      </c>
      <c r="H97" s="5" t="n">
        <v>0</v>
      </c>
      <c r="I97" s="5" t="n">
        <v>0</v>
      </c>
      <c r="J97" s="14" t="n">
        <v>20</v>
      </c>
      <c r="K97" s="5" t="n">
        <v>0</v>
      </c>
    </row>
    <row r="98" customFormat="false" ht="15" hidden="false" customHeight="false" outlineLevel="0" collapsed="false">
      <c r="A98" s="12" t="n">
        <v>45964</v>
      </c>
      <c r="B98" s="5" t="s">
        <v>41</v>
      </c>
      <c r="C98" s="5" t="s">
        <v>42</v>
      </c>
      <c r="D98" s="13" t="n">
        <v>673800</v>
      </c>
      <c r="E98" s="13" t="n">
        <v>820700</v>
      </c>
      <c r="F98" s="5" t="n">
        <v>80</v>
      </c>
      <c r="G98" s="5" t="n">
        <v>0</v>
      </c>
      <c r="H98" s="5" t="n">
        <v>0</v>
      </c>
      <c r="I98" s="5" t="n">
        <v>0</v>
      </c>
      <c r="J98" s="14" t="n">
        <v>18.9</v>
      </c>
      <c r="K98" s="5" t="n">
        <v>0</v>
      </c>
    </row>
    <row r="99" customFormat="false" ht="15" hidden="false" customHeight="false" outlineLevel="0" collapsed="false">
      <c r="A99" s="12" t="n">
        <v>45971</v>
      </c>
      <c r="B99" s="5" t="s">
        <v>41</v>
      </c>
      <c r="C99" s="5" t="s">
        <v>42</v>
      </c>
      <c r="D99" s="13" t="n">
        <v>635100</v>
      </c>
      <c r="E99" s="13" t="n">
        <v>791700</v>
      </c>
      <c r="F99" s="5" t="n">
        <v>82</v>
      </c>
      <c r="G99" s="5" t="n">
        <v>0</v>
      </c>
      <c r="H99" s="5" t="n">
        <v>0</v>
      </c>
      <c r="I99" s="5" t="n">
        <v>0</v>
      </c>
      <c r="J99" s="14" t="n">
        <v>17.9</v>
      </c>
      <c r="K99" s="5" t="n">
        <v>0</v>
      </c>
    </row>
    <row r="100" customFormat="false" ht="15" hidden="false" customHeight="false" outlineLevel="0" collapsed="false">
      <c r="A100" s="12" t="n">
        <v>45978</v>
      </c>
      <c r="B100" s="5" t="s">
        <v>41</v>
      </c>
      <c r="C100" s="5" t="s">
        <v>42</v>
      </c>
      <c r="D100" s="13" t="n">
        <v>698900</v>
      </c>
      <c r="E100" s="13" t="n">
        <v>712500</v>
      </c>
      <c r="F100" s="5" t="n">
        <v>78</v>
      </c>
      <c r="G100" s="5" t="n">
        <v>0</v>
      </c>
      <c r="H100" s="5" t="n">
        <v>0</v>
      </c>
      <c r="I100" s="5" t="n">
        <v>0</v>
      </c>
      <c r="J100" s="14" t="n">
        <v>19.3</v>
      </c>
      <c r="K100" s="5" t="n">
        <v>0</v>
      </c>
    </row>
    <row r="101" customFormat="false" ht="15" hidden="false" customHeight="false" outlineLevel="0" collapsed="false">
      <c r="A101" s="12" t="n">
        <v>45985</v>
      </c>
      <c r="B101" s="5" t="s">
        <v>41</v>
      </c>
      <c r="C101" s="5" t="s">
        <v>42</v>
      </c>
      <c r="D101" s="13" t="n">
        <v>645200</v>
      </c>
      <c r="E101" s="13" t="n">
        <v>644600</v>
      </c>
      <c r="F101" s="5" t="n">
        <v>79</v>
      </c>
      <c r="G101" s="5" t="n">
        <v>0</v>
      </c>
      <c r="H101" s="5" t="n">
        <v>0</v>
      </c>
      <c r="I101" s="5" t="n">
        <v>0</v>
      </c>
      <c r="J101" s="14" t="n">
        <v>16.4</v>
      </c>
      <c r="K101" s="5" t="n">
        <v>0</v>
      </c>
    </row>
    <row r="102" customFormat="false" ht="15" hidden="false" customHeight="false" outlineLevel="0" collapsed="false">
      <c r="A102" s="12" t="n">
        <v>45992</v>
      </c>
      <c r="B102" s="5" t="s">
        <v>41</v>
      </c>
      <c r="C102" s="5" t="s">
        <v>42</v>
      </c>
      <c r="D102" s="13" t="n">
        <v>733700</v>
      </c>
      <c r="E102" s="13" t="n">
        <v>666500</v>
      </c>
      <c r="F102" s="5" t="n">
        <v>82</v>
      </c>
      <c r="G102" s="5" t="n">
        <v>0</v>
      </c>
      <c r="H102" s="5" t="n">
        <v>0</v>
      </c>
      <c r="I102" s="5" t="n">
        <v>0</v>
      </c>
      <c r="J102" s="14" t="n">
        <v>17.5</v>
      </c>
      <c r="K102" s="5" t="n">
        <v>0</v>
      </c>
    </row>
    <row r="103" customFormat="false" ht="15" hidden="false" customHeight="false" outlineLevel="0" collapsed="false">
      <c r="A103" s="12" t="n">
        <v>45999</v>
      </c>
      <c r="B103" s="5" t="s">
        <v>41</v>
      </c>
      <c r="C103" s="5" t="s">
        <v>42</v>
      </c>
      <c r="D103" s="13" t="n">
        <v>741400</v>
      </c>
      <c r="E103" s="13" t="n">
        <v>737800</v>
      </c>
      <c r="F103" s="5" t="n">
        <v>81</v>
      </c>
      <c r="G103" s="5" t="n">
        <v>0</v>
      </c>
      <c r="H103" s="5" t="n">
        <v>0</v>
      </c>
      <c r="I103" s="5" t="n">
        <v>0</v>
      </c>
      <c r="J103" s="14" t="n">
        <v>18.9</v>
      </c>
      <c r="K103" s="5" t="n">
        <v>0</v>
      </c>
    </row>
    <row r="104" customFormat="false" ht="15" hidden="false" customHeight="false" outlineLevel="0" collapsed="false">
      <c r="A104" s="12" t="n">
        <v>46006</v>
      </c>
      <c r="B104" s="5" t="s">
        <v>41</v>
      </c>
      <c r="C104" s="5" t="s">
        <v>42</v>
      </c>
      <c r="D104" s="13" t="n">
        <v>722400</v>
      </c>
      <c r="E104" s="13" t="n">
        <v>664100</v>
      </c>
      <c r="F104" s="5" t="n">
        <v>81</v>
      </c>
      <c r="G104" s="5" t="n">
        <v>0</v>
      </c>
      <c r="H104" s="5" t="n">
        <v>0</v>
      </c>
      <c r="I104" s="5" t="n">
        <v>0</v>
      </c>
      <c r="J104" s="14" t="n">
        <v>19.8</v>
      </c>
      <c r="K104" s="5" t="n">
        <v>0</v>
      </c>
    </row>
    <row r="105" customFormat="false" ht="15" hidden="false" customHeight="false" outlineLevel="0" collapsed="false">
      <c r="A105" s="12" t="n">
        <v>46013</v>
      </c>
      <c r="B105" s="5" t="s">
        <v>41</v>
      </c>
      <c r="C105" s="5" t="s">
        <v>42</v>
      </c>
      <c r="D105" s="13" t="n">
        <v>674900</v>
      </c>
      <c r="E105" s="13" t="n">
        <v>775300</v>
      </c>
      <c r="F105" s="5" t="n">
        <v>82</v>
      </c>
      <c r="G105" s="5" t="n">
        <v>0</v>
      </c>
      <c r="H105" s="5" t="n">
        <v>0</v>
      </c>
      <c r="I105" s="5" t="n">
        <v>0</v>
      </c>
      <c r="J105" s="14" t="n">
        <v>18</v>
      </c>
      <c r="K105" s="5" t="n">
        <v>0</v>
      </c>
    </row>
  </sheetData>
  <autoFilter ref="A1:L1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70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2" t="s">
        <v>1</v>
      </c>
    </row>
    <row r="3" customFormat="false" ht="15" hidden="false" customHeight="false" outlineLevel="0" collapsed="false">
      <c r="A3" s="15" t="s">
        <v>47</v>
      </c>
      <c r="B3" s="15" t="s">
        <v>48</v>
      </c>
      <c r="C3" s="15" t="s">
        <v>49</v>
      </c>
      <c r="D3" s="15" t="s">
        <v>50</v>
      </c>
      <c r="E3" s="15" t="s">
        <v>51</v>
      </c>
      <c r="F3" s="15" t="s">
        <v>52</v>
      </c>
    </row>
    <row r="4" customFormat="false" ht="66" hidden="false" customHeight="true" outlineLevel="0" collapsed="false">
      <c r="A4" s="16" t="s">
        <v>29</v>
      </c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</row>
    <row r="5" customFormat="false" ht="66" hidden="false" customHeight="true" outlineLevel="0" collapsed="false">
      <c r="A5" s="16" t="s">
        <v>30</v>
      </c>
      <c r="B5" s="4" t="s">
        <v>58</v>
      </c>
      <c r="C5" s="4" t="s">
        <v>59</v>
      </c>
      <c r="D5" s="4" t="s">
        <v>60</v>
      </c>
      <c r="E5" s="4" t="s">
        <v>61</v>
      </c>
      <c r="F5" s="4" t="s">
        <v>62</v>
      </c>
    </row>
    <row r="6" customFormat="false" ht="66" hidden="false" customHeight="true" outlineLevel="0" collapsed="false">
      <c r="A6" s="16" t="s">
        <v>31</v>
      </c>
      <c r="B6" s="4" t="s">
        <v>63</v>
      </c>
      <c r="C6" s="4" t="s">
        <v>59</v>
      </c>
      <c r="D6" s="4" t="s">
        <v>60</v>
      </c>
      <c r="E6" s="4" t="s">
        <v>64</v>
      </c>
      <c r="F6" s="4" t="s">
        <v>65</v>
      </c>
    </row>
    <row r="7" customFormat="false" ht="66" hidden="false" customHeight="true" outlineLevel="0" collapsed="false">
      <c r="A7" s="16" t="s">
        <v>32</v>
      </c>
      <c r="B7" s="4" t="s">
        <v>66</v>
      </c>
      <c r="C7" s="4" t="s">
        <v>67</v>
      </c>
      <c r="D7" s="4" t="s">
        <v>68</v>
      </c>
      <c r="E7" s="4" t="s">
        <v>69</v>
      </c>
      <c r="F7" s="4" t="s">
        <v>70</v>
      </c>
    </row>
    <row r="8" customFormat="false" ht="66" hidden="false" customHeight="true" outlineLevel="0" collapsed="false">
      <c r="A8" s="16" t="s">
        <v>33</v>
      </c>
      <c r="B8" s="4" t="s">
        <v>71</v>
      </c>
      <c r="C8" s="4" t="s">
        <v>67</v>
      </c>
      <c r="D8" s="4" t="s">
        <v>72</v>
      </c>
      <c r="E8" s="4" t="s">
        <v>73</v>
      </c>
      <c r="F8" s="4" t="s">
        <v>74</v>
      </c>
    </row>
    <row r="9" customFormat="false" ht="66" hidden="false" customHeight="true" outlineLevel="0" collapsed="false">
      <c r="A9" s="16" t="s">
        <v>34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79</v>
      </c>
    </row>
    <row r="10" customFormat="false" ht="66" hidden="false" customHeight="true" outlineLevel="0" collapsed="false">
      <c r="A10" s="16" t="s">
        <v>35</v>
      </c>
      <c r="B10" s="4" t="s">
        <v>80</v>
      </c>
      <c r="C10" s="4" t="s">
        <v>81</v>
      </c>
      <c r="D10" s="4" t="s">
        <v>72</v>
      </c>
      <c r="E10" s="4" t="s">
        <v>82</v>
      </c>
      <c r="F10" s="4" t="s">
        <v>79</v>
      </c>
    </row>
    <row r="11" customFormat="false" ht="66" hidden="false" customHeight="true" outlineLevel="0" collapsed="false">
      <c r="A11" s="16" t="s">
        <v>36</v>
      </c>
      <c r="B11" s="4" t="s">
        <v>83</v>
      </c>
      <c r="C11" s="4" t="s">
        <v>84</v>
      </c>
      <c r="D11" s="4" t="s">
        <v>72</v>
      </c>
      <c r="E11" s="4" t="s">
        <v>85</v>
      </c>
      <c r="F11" s="4" t="s">
        <v>86</v>
      </c>
    </row>
    <row r="12" customFormat="false" ht="66" hidden="false" customHeight="true" outlineLevel="0" collapsed="false">
      <c r="A12" s="16" t="s">
        <v>37</v>
      </c>
      <c r="B12" s="4" t="s">
        <v>87</v>
      </c>
      <c r="C12" s="4" t="s">
        <v>81</v>
      </c>
      <c r="D12" s="4" t="s">
        <v>88</v>
      </c>
      <c r="E12" s="4" t="s">
        <v>89</v>
      </c>
      <c r="F12" s="4" t="s">
        <v>90</v>
      </c>
    </row>
    <row r="13" customFormat="false" ht="66" hidden="false" customHeight="true" outlineLevel="0" collapsed="false">
      <c r="A13" s="16" t="s">
        <v>38</v>
      </c>
      <c r="B13" s="4" t="s">
        <v>91</v>
      </c>
      <c r="C13" s="4" t="s">
        <v>92</v>
      </c>
      <c r="D13" s="4" t="s">
        <v>72</v>
      </c>
      <c r="E13" s="4" t="s">
        <v>93</v>
      </c>
      <c r="F13" s="4" t="s">
        <v>94</v>
      </c>
    </row>
    <row r="14" customFormat="false" ht="66" hidden="false" customHeight="true" outlineLevel="0" collapsed="false">
      <c r="A14" s="16" t="s">
        <v>39</v>
      </c>
      <c r="B14" s="4" t="s">
        <v>95</v>
      </c>
      <c r="C14" s="4" t="s">
        <v>81</v>
      </c>
      <c r="D14" s="4" t="s">
        <v>72</v>
      </c>
      <c r="E14" s="4" t="s">
        <v>96</v>
      </c>
      <c r="F14" s="4" t="s">
        <v>97</v>
      </c>
    </row>
    <row r="15" customFormat="false" ht="66" hidden="false" customHeight="true" outlineLevel="0" collapsed="false">
      <c r="A15" s="16" t="s">
        <v>40</v>
      </c>
      <c r="B15" s="4" t="s">
        <v>98</v>
      </c>
      <c r="C15" s="4" t="s">
        <v>59</v>
      </c>
      <c r="D15" s="4" t="s">
        <v>72</v>
      </c>
      <c r="E15" s="4" t="s">
        <v>99</v>
      </c>
      <c r="F15" s="4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52"/>
    <col collapsed="false" customWidth="true" hidden="false" outlineLevel="0" max="5" min="5" style="0" width="44"/>
    <col collapsed="false" customWidth="true" hidden="false" outlineLevel="0" max="6" min="6" style="0" width="22"/>
    <col collapsed="false" customWidth="true" hidden="false" outlineLevel="0" max="7" min="7" style="0" width="52"/>
  </cols>
  <sheetData>
    <row r="1" customFormat="false" ht="15" hidden="false" customHeight="false" outlineLevel="0" collapsed="false">
      <c r="A1" s="2" t="s">
        <v>1</v>
      </c>
    </row>
    <row r="3" customFormat="false" ht="15" hidden="false" customHeight="false" outlineLevel="0" collapsed="false">
      <c r="A3" s="17" t="s">
        <v>101</v>
      </c>
      <c r="B3" s="17" t="s">
        <v>102</v>
      </c>
      <c r="C3" s="17" t="s">
        <v>103</v>
      </c>
      <c r="D3" s="17" t="s">
        <v>104</v>
      </c>
      <c r="E3" s="17" t="s">
        <v>105</v>
      </c>
      <c r="F3" s="17" t="s">
        <v>106</v>
      </c>
      <c r="G3" s="17" t="s">
        <v>107</v>
      </c>
    </row>
    <row r="4" customFormat="false" ht="57.75" hidden="false" customHeight="true" outlineLevel="0" collapsed="false">
      <c r="A4" s="16" t="s">
        <v>108</v>
      </c>
      <c r="B4" s="4" t="s">
        <v>109</v>
      </c>
      <c r="C4" s="4" t="s">
        <v>110</v>
      </c>
      <c r="D4" s="4" t="s">
        <v>111</v>
      </c>
      <c r="E4" s="4" t="s">
        <v>112</v>
      </c>
      <c r="F4" s="4" t="s">
        <v>113</v>
      </c>
      <c r="G4" s="4" t="s">
        <v>114</v>
      </c>
    </row>
    <row r="5" customFormat="false" ht="57.75" hidden="false" customHeight="true" outlineLevel="0" collapsed="false">
      <c r="A5" s="16" t="s">
        <v>115</v>
      </c>
      <c r="B5" s="4" t="s">
        <v>109</v>
      </c>
      <c r="C5" s="4" t="s">
        <v>116</v>
      </c>
      <c r="D5" s="4" t="s">
        <v>117</v>
      </c>
      <c r="E5" s="4" t="s">
        <v>118</v>
      </c>
      <c r="F5" s="4" t="s">
        <v>119</v>
      </c>
      <c r="G5" s="4" t="s">
        <v>120</v>
      </c>
    </row>
    <row r="6" customFormat="false" ht="57.75" hidden="false" customHeight="true" outlineLevel="0" collapsed="false">
      <c r="A6" s="16" t="s">
        <v>121</v>
      </c>
      <c r="B6" s="4" t="s">
        <v>122</v>
      </c>
      <c r="C6" s="4" t="s">
        <v>123</v>
      </c>
      <c r="D6" s="4" t="s">
        <v>124</v>
      </c>
      <c r="E6" s="4" t="s">
        <v>125</v>
      </c>
      <c r="F6" s="4" t="s">
        <v>60</v>
      </c>
      <c r="G6" s="4" t="s">
        <v>126</v>
      </c>
    </row>
    <row r="7" customFormat="false" ht="57.75" hidden="false" customHeight="true" outlineLevel="0" collapsed="false">
      <c r="A7" s="16" t="s">
        <v>127</v>
      </c>
      <c r="B7" s="4" t="s">
        <v>128</v>
      </c>
      <c r="C7" s="4" t="s">
        <v>129</v>
      </c>
      <c r="D7" s="4" t="s">
        <v>130</v>
      </c>
      <c r="E7" s="4" t="s">
        <v>131</v>
      </c>
      <c r="F7" s="4" t="s">
        <v>60</v>
      </c>
      <c r="G7" s="4"/>
    </row>
    <row r="8" customFormat="false" ht="57.75" hidden="false" customHeight="true" outlineLevel="0" collapsed="false">
      <c r="A8" s="16" t="s">
        <v>132</v>
      </c>
      <c r="B8" s="4" t="s">
        <v>133</v>
      </c>
      <c r="C8" s="4" t="s">
        <v>134</v>
      </c>
      <c r="D8" s="4" t="s">
        <v>135</v>
      </c>
      <c r="E8" s="4" t="s">
        <v>136</v>
      </c>
      <c r="F8" s="4" t="s">
        <v>72</v>
      </c>
      <c r="G8" s="4" t="s">
        <v>137</v>
      </c>
    </row>
    <row r="9" customFormat="false" ht="57.75" hidden="false" customHeight="true" outlineLevel="0" collapsed="false">
      <c r="A9" s="16" t="s">
        <v>138</v>
      </c>
      <c r="B9" s="4" t="s">
        <v>139</v>
      </c>
      <c r="C9" s="4" t="s">
        <v>140</v>
      </c>
      <c r="D9" s="4" t="s">
        <v>141</v>
      </c>
      <c r="E9" s="4" t="s">
        <v>142</v>
      </c>
      <c r="F9" s="4" t="s">
        <v>143</v>
      </c>
      <c r="G9" s="4" t="s">
        <v>144</v>
      </c>
    </row>
    <row r="10" customFormat="false" ht="57.75" hidden="false" customHeight="true" outlineLevel="0" collapsed="false">
      <c r="A10" s="16" t="s">
        <v>145</v>
      </c>
      <c r="B10" s="4" t="s">
        <v>34</v>
      </c>
      <c r="C10" s="4" t="s">
        <v>146</v>
      </c>
      <c r="D10" s="4" t="s">
        <v>147</v>
      </c>
      <c r="E10" s="4" t="s">
        <v>148</v>
      </c>
      <c r="F10" s="4" t="s">
        <v>60</v>
      </c>
      <c r="G10" s="4" t="s">
        <v>149</v>
      </c>
    </row>
    <row r="11" customFormat="false" ht="57.75" hidden="false" customHeight="true" outlineLevel="0" collapsed="false">
      <c r="A11" s="16" t="s">
        <v>150</v>
      </c>
      <c r="B11" s="4" t="s">
        <v>151</v>
      </c>
      <c r="C11" s="4" t="s">
        <v>152</v>
      </c>
      <c r="D11" s="4" t="s">
        <v>153</v>
      </c>
      <c r="E11" s="4" t="s">
        <v>154</v>
      </c>
      <c r="F11" s="4" t="s">
        <v>72</v>
      </c>
      <c r="G11" s="4" t="s">
        <v>155</v>
      </c>
    </row>
    <row r="12" customFormat="false" ht="57.75" hidden="false" customHeight="true" outlineLevel="0" collapsed="false">
      <c r="A12" s="16" t="s">
        <v>156</v>
      </c>
      <c r="B12" s="4" t="s">
        <v>157</v>
      </c>
      <c r="C12" s="4" t="s">
        <v>158</v>
      </c>
      <c r="D12" s="4" t="s">
        <v>159</v>
      </c>
      <c r="E12" s="4" t="s">
        <v>160</v>
      </c>
      <c r="F12" s="4" t="s">
        <v>72</v>
      </c>
      <c r="G12" s="4"/>
    </row>
    <row r="13" customFormat="false" ht="57.75" hidden="false" customHeight="true" outlineLevel="0" collapsed="false">
      <c r="A13" s="16" t="s">
        <v>161</v>
      </c>
      <c r="B13" s="4" t="s">
        <v>162</v>
      </c>
      <c r="C13" s="4" t="s">
        <v>163</v>
      </c>
      <c r="D13" s="4" t="s">
        <v>164</v>
      </c>
      <c r="E13" s="4" t="s">
        <v>165</v>
      </c>
      <c r="F13" s="4" t="s">
        <v>72</v>
      </c>
      <c r="G13" s="4" t="s">
        <v>166</v>
      </c>
    </row>
    <row r="14" customFormat="false" ht="57.75" hidden="false" customHeight="true" outlineLevel="0" collapsed="false">
      <c r="A14" s="16" t="s">
        <v>167</v>
      </c>
      <c r="B14" s="4" t="s">
        <v>168</v>
      </c>
      <c r="C14" s="4" t="s">
        <v>169</v>
      </c>
      <c r="D14" s="4" t="s">
        <v>170</v>
      </c>
      <c r="E14" s="4" t="s">
        <v>171</v>
      </c>
      <c r="F14" s="4" t="s">
        <v>72</v>
      </c>
      <c r="G14" s="4"/>
    </row>
    <row r="15" customFormat="false" ht="57.75" hidden="false" customHeight="true" outlineLevel="0" collapsed="false">
      <c r="A15" s="16" t="s">
        <v>172</v>
      </c>
      <c r="B15" s="4" t="s">
        <v>168</v>
      </c>
      <c r="C15" s="4" t="s">
        <v>173</v>
      </c>
      <c r="D15" s="4" t="s">
        <v>174</v>
      </c>
      <c r="E15" s="4" t="s">
        <v>175</v>
      </c>
      <c r="F15" s="4" t="s">
        <v>72</v>
      </c>
      <c r="G15" s="4"/>
    </row>
    <row r="16" customFormat="false" ht="57.75" hidden="false" customHeight="true" outlineLevel="0" collapsed="false">
      <c r="A16" s="16" t="s">
        <v>176</v>
      </c>
      <c r="B16" s="4" t="s">
        <v>168</v>
      </c>
      <c r="C16" s="4" t="s">
        <v>177</v>
      </c>
      <c r="D16" s="4" t="s">
        <v>178</v>
      </c>
      <c r="E16" s="4" t="s">
        <v>179</v>
      </c>
      <c r="F16" s="4" t="s">
        <v>72</v>
      </c>
      <c r="G16" s="4"/>
    </row>
    <row r="17" customFormat="false" ht="57.75" hidden="false" customHeight="true" outlineLevel="0" collapsed="false">
      <c r="A17" s="16" t="s">
        <v>180</v>
      </c>
      <c r="B17" s="4" t="s">
        <v>168</v>
      </c>
      <c r="C17" s="4" t="s">
        <v>181</v>
      </c>
      <c r="D17" s="4" t="s">
        <v>182</v>
      </c>
      <c r="E17" s="4" t="s">
        <v>183</v>
      </c>
      <c r="F17" s="4" t="s">
        <v>72</v>
      </c>
      <c r="G17" s="4"/>
    </row>
    <row r="18" customFormat="false" ht="57.75" hidden="false" customHeight="true" outlineLevel="0" collapsed="false">
      <c r="A18" s="16" t="s">
        <v>184</v>
      </c>
      <c r="B18" s="4" t="s">
        <v>185</v>
      </c>
      <c r="C18" s="4" t="s">
        <v>186</v>
      </c>
      <c r="D18" s="4" t="s">
        <v>187</v>
      </c>
      <c r="E18" s="4" t="s">
        <v>188</v>
      </c>
      <c r="F18" s="4" t="s">
        <v>72</v>
      </c>
      <c r="G18" s="4" t="s">
        <v>189</v>
      </c>
    </row>
    <row r="19" customFormat="false" ht="57.75" hidden="false" customHeight="true" outlineLevel="0" collapsed="false">
      <c r="A19" s="16" t="s">
        <v>190</v>
      </c>
      <c r="B19" s="4" t="s">
        <v>191</v>
      </c>
      <c r="C19" s="4" t="s">
        <v>192</v>
      </c>
      <c r="D19" s="4" t="s">
        <v>193</v>
      </c>
      <c r="E19" s="4" t="s">
        <v>194</v>
      </c>
      <c r="F19" s="4" t="s">
        <v>60</v>
      </c>
      <c r="G19" s="4"/>
    </row>
    <row r="20" customFormat="false" ht="57.75" hidden="false" customHeight="true" outlineLevel="0" collapsed="false">
      <c r="A20" s="16" t="s">
        <v>195</v>
      </c>
      <c r="B20" s="4" t="s">
        <v>196</v>
      </c>
      <c r="C20" s="4" t="s">
        <v>197</v>
      </c>
      <c r="D20" s="4" t="s">
        <v>198</v>
      </c>
      <c r="E20" s="4" t="s">
        <v>199</v>
      </c>
      <c r="F20" s="4" t="s">
        <v>200</v>
      </c>
      <c r="G20" s="4"/>
    </row>
    <row r="21" customFormat="false" ht="57.75" hidden="false" customHeight="true" outlineLevel="0" collapsed="false">
      <c r="A21" s="16" t="s">
        <v>201</v>
      </c>
      <c r="B21" s="4" t="s">
        <v>202</v>
      </c>
      <c r="C21" s="4" t="s">
        <v>203</v>
      </c>
      <c r="D21" s="4" t="s">
        <v>204</v>
      </c>
      <c r="E21" s="4" t="s">
        <v>205</v>
      </c>
      <c r="F21" s="4" t="s">
        <v>206</v>
      </c>
      <c r="G21" s="4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2026-10-08T08:59:20Z</dcterms:created>
  <dc:creator>openpyxl</dc:creator>
  <dc:description/>
  <dc:language>en-US</dc:language>
  <cp:lastModifiedBy/>
  <dcterms:modified xsi:type="dcterms:W3CDTF">2026-10-08T08:59:20Z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